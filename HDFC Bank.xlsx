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ipr\Downloads\"/>
    </mc:Choice>
  </mc:AlternateContent>
  <xr:revisionPtr revIDLastSave="0" documentId="8_{004E90BD-87CE-4653-B4B9-950185E26F30}" xr6:coauthVersionLast="47" xr6:coauthVersionMax="47" xr10:uidLastSave="{00000000-0000-0000-0000-000000000000}"/>
  <bookViews>
    <workbookView xWindow="-108" yWindow="-108" windowWidth="23256" windowHeight="12456" firstSheet="5" activeTab="5" xr2:uid="{00000000-000D-0000-FFFF-FFFF00000000}"/>
  </bookViews>
  <sheets>
    <sheet name="Profit &amp; Loss" sheetId="1" state="hidden" r:id="rId1"/>
    <sheet name="Quarters" sheetId="3" state="hidden" r:id="rId2"/>
    <sheet name="Balance Sheet" sheetId="2" state="hidden" r:id="rId3"/>
    <sheet name="Cash Flow" sheetId="4" state="hidden" r:id="rId4"/>
    <sheet name="Customization" sheetId="5" state="hidden" r:id="rId5"/>
    <sheet name="3-Statement Model" sheetId="7" r:id="rId6"/>
    <sheet name="Ratio Analysis" sheetId="9" r:id="rId7"/>
    <sheet name="Comparable Company Analysis" sheetId="10" r:id="rId8"/>
    <sheet name="P&amp;L Raw Data" sheetId="13" r:id="rId9"/>
    <sheet name="Balance Sheet Raw Data" sheetId="12" r:id="rId10"/>
    <sheet name="Cash Flow Raw Data" sheetId="8" r:id="rId11"/>
    <sheet name="Assumptions" sheetId="14" r:id="rId12"/>
    <sheet name="Data Sheet" sheetId="6" state="hidden" r:id="rId13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7" i="7" l="1"/>
  <c r="C28" i="7"/>
  <c r="D19" i="7"/>
  <c r="H24" i="14"/>
  <c r="I24" i="14"/>
  <c r="J24" i="14"/>
  <c r="K24" i="14"/>
  <c r="G24" i="14"/>
  <c r="F15" i="14"/>
  <c r="D37" i="7"/>
  <c r="E37" i="7"/>
  <c r="F37" i="7"/>
  <c r="C37" i="7"/>
  <c r="I5" i="10"/>
  <c r="E22" i="10"/>
  <c r="D22" i="10"/>
  <c r="D23" i="14"/>
  <c r="D25" i="14" s="1"/>
  <c r="E23" i="14"/>
  <c r="E25" i="14" s="1"/>
  <c r="E25" i="9" s="1"/>
  <c r="F23" i="14"/>
  <c r="F25" i="14" s="1"/>
  <c r="F26" i="14" s="1"/>
  <c r="C23" i="14"/>
  <c r="C25" i="14" s="1"/>
  <c r="C25" i="9" s="1"/>
  <c r="B2" i="9"/>
  <c r="D18" i="9"/>
  <c r="E18" i="9"/>
  <c r="F18" i="9"/>
  <c r="C18" i="9"/>
  <c r="C53" i="14"/>
  <c r="C17" i="9" s="1"/>
  <c r="D53" i="14"/>
  <c r="D55" i="14" s="1"/>
  <c r="E53" i="14"/>
  <c r="E15" i="9" s="1"/>
  <c r="F53" i="14"/>
  <c r="F31" i="9"/>
  <c r="D47" i="14"/>
  <c r="D8" i="9" s="1"/>
  <c r="E47" i="14"/>
  <c r="E8" i="9" s="1"/>
  <c r="F47" i="14"/>
  <c r="F8" i="9" s="1"/>
  <c r="C47" i="14"/>
  <c r="D21" i="9"/>
  <c r="E21" i="9"/>
  <c r="C21" i="9"/>
  <c r="I71" i="7"/>
  <c r="J71" i="7"/>
  <c r="I74" i="7"/>
  <c r="K63" i="7"/>
  <c r="L63" i="7"/>
  <c r="F69" i="7"/>
  <c r="F76" i="7" s="1"/>
  <c r="F78" i="7" s="1"/>
  <c r="C59" i="7"/>
  <c r="H59" i="7" s="1"/>
  <c r="D59" i="7"/>
  <c r="E59" i="7"/>
  <c r="F59" i="7"/>
  <c r="C60" i="7"/>
  <c r="D60" i="7"/>
  <c r="E60" i="7"/>
  <c r="F60" i="7"/>
  <c r="C61" i="7"/>
  <c r="D61" i="7"/>
  <c r="E61" i="7"/>
  <c r="F61" i="7"/>
  <c r="C62" i="7"/>
  <c r="D62" i="7"/>
  <c r="E62" i="7"/>
  <c r="F62" i="7"/>
  <c r="C63" i="7"/>
  <c r="D63" i="7"/>
  <c r="E63" i="7"/>
  <c r="F63" i="7"/>
  <c r="J63" i="7" s="1"/>
  <c r="C64" i="7"/>
  <c r="D64" i="7"/>
  <c r="E64" i="7"/>
  <c r="F64" i="7"/>
  <c r="C65" i="7"/>
  <c r="D65" i="7"/>
  <c r="E65" i="7"/>
  <c r="F65" i="7"/>
  <c r="C66" i="7"/>
  <c r="D66" i="7"/>
  <c r="E66" i="7"/>
  <c r="F66" i="7"/>
  <c r="L66" i="7" s="1"/>
  <c r="C67" i="7"/>
  <c r="D67" i="7"/>
  <c r="E67" i="7"/>
  <c r="F67" i="7"/>
  <c r="C68" i="7"/>
  <c r="H68" i="7" s="1"/>
  <c r="D68" i="7"/>
  <c r="E68" i="7"/>
  <c r="F68" i="7"/>
  <c r="C71" i="7"/>
  <c r="D71" i="7"/>
  <c r="E71" i="7"/>
  <c r="F71" i="7"/>
  <c r="C72" i="7"/>
  <c r="D72" i="7"/>
  <c r="E72" i="7"/>
  <c r="F72" i="7"/>
  <c r="C73" i="7"/>
  <c r="I73" i="7" s="1"/>
  <c r="D73" i="7"/>
  <c r="L73" i="7" s="1"/>
  <c r="E73" i="7"/>
  <c r="F73" i="7"/>
  <c r="C74" i="7"/>
  <c r="H74" i="7" s="1"/>
  <c r="D74" i="7"/>
  <c r="E74" i="7"/>
  <c r="F74" i="7"/>
  <c r="C75" i="7"/>
  <c r="D75" i="7"/>
  <c r="E75" i="7"/>
  <c r="F75" i="7"/>
  <c r="C77" i="7"/>
  <c r="D77" i="7"/>
  <c r="E77" i="7"/>
  <c r="F77" i="7"/>
  <c r="C81" i="7"/>
  <c r="D81" i="7"/>
  <c r="E81" i="7"/>
  <c r="F81" i="7"/>
  <c r="C82" i="7"/>
  <c r="D82" i="7"/>
  <c r="E82" i="7"/>
  <c r="F82" i="7"/>
  <c r="C83" i="7"/>
  <c r="J83" i="7" s="1"/>
  <c r="D83" i="7"/>
  <c r="E83" i="7"/>
  <c r="F83" i="7"/>
  <c r="C84" i="7"/>
  <c r="D84" i="7"/>
  <c r="E84" i="7"/>
  <c r="F84" i="7"/>
  <c r="C85" i="7"/>
  <c r="D85" i="7"/>
  <c r="E85" i="7"/>
  <c r="F85" i="7"/>
  <c r="C89" i="7"/>
  <c r="D89" i="7"/>
  <c r="D96" i="7" s="1"/>
  <c r="E89" i="7"/>
  <c r="F89" i="7"/>
  <c r="C90" i="7"/>
  <c r="D90" i="7"/>
  <c r="E90" i="7"/>
  <c r="F90" i="7"/>
  <c r="K90" i="7" s="1"/>
  <c r="C91" i="7"/>
  <c r="D91" i="7"/>
  <c r="E91" i="7"/>
  <c r="F91" i="7"/>
  <c r="C92" i="7"/>
  <c r="D92" i="7"/>
  <c r="E92" i="7"/>
  <c r="F92" i="7"/>
  <c r="C93" i="7"/>
  <c r="D93" i="7"/>
  <c r="E93" i="7"/>
  <c r="F93" i="7"/>
  <c r="C94" i="7"/>
  <c r="D94" i="7"/>
  <c r="J94" i="7" s="1"/>
  <c r="E94" i="7"/>
  <c r="F94" i="7"/>
  <c r="C95" i="7"/>
  <c r="D95" i="7"/>
  <c r="E95" i="7"/>
  <c r="F95" i="7"/>
  <c r="C97" i="7"/>
  <c r="J97" i="7" s="1"/>
  <c r="D97" i="7"/>
  <c r="E97" i="7"/>
  <c r="F97" i="7"/>
  <c r="C99" i="7"/>
  <c r="D99" i="7"/>
  <c r="E99" i="7"/>
  <c r="F99" i="7"/>
  <c r="C100" i="7"/>
  <c r="D100" i="7"/>
  <c r="E100" i="7"/>
  <c r="F100" i="7"/>
  <c r="D57" i="7"/>
  <c r="E57" i="7"/>
  <c r="F57" i="7"/>
  <c r="K57" i="7"/>
  <c r="F4" i="9"/>
  <c r="H4" i="9" s="1"/>
  <c r="I4" i="9" s="1"/>
  <c r="J4" i="9" s="1"/>
  <c r="K4" i="9" s="1"/>
  <c r="L4" i="9" s="1"/>
  <c r="E4" i="9"/>
  <c r="D4" i="9"/>
  <c r="C4" i="9"/>
  <c r="F16" i="14"/>
  <c r="F21" i="9" s="1"/>
  <c r="D45" i="7"/>
  <c r="E45" i="7"/>
  <c r="F45" i="7"/>
  <c r="D46" i="7"/>
  <c r="E46" i="7"/>
  <c r="F46" i="7"/>
  <c r="D47" i="7"/>
  <c r="E47" i="7"/>
  <c r="F47" i="7"/>
  <c r="D48" i="7"/>
  <c r="E48" i="7"/>
  <c r="E24" i="9" s="1"/>
  <c r="F48" i="7"/>
  <c r="D49" i="7"/>
  <c r="E49" i="7"/>
  <c r="F49" i="7"/>
  <c r="D50" i="7"/>
  <c r="E50" i="7"/>
  <c r="F50" i="7"/>
  <c r="C46" i="7"/>
  <c r="C47" i="7"/>
  <c r="C48" i="7"/>
  <c r="C49" i="7"/>
  <c r="C50" i="7"/>
  <c r="C45" i="7"/>
  <c r="E39" i="7"/>
  <c r="F39" i="7"/>
  <c r="F29" i="9" s="1"/>
  <c r="E40" i="7"/>
  <c r="F40" i="7"/>
  <c r="E41" i="7"/>
  <c r="F41" i="7"/>
  <c r="D39" i="7"/>
  <c r="D40" i="7"/>
  <c r="D41" i="7"/>
  <c r="C39" i="7"/>
  <c r="C40" i="7"/>
  <c r="C41" i="7"/>
  <c r="D36" i="7"/>
  <c r="E36" i="7"/>
  <c r="F36" i="7"/>
  <c r="C36" i="7"/>
  <c r="D28" i="7"/>
  <c r="E28" i="7"/>
  <c r="F28" i="7"/>
  <c r="D29" i="7"/>
  <c r="E29" i="7"/>
  <c r="F29" i="7"/>
  <c r="C29" i="7"/>
  <c r="H24" i="7"/>
  <c r="I24" i="7"/>
  <c r="J24" i="7"/>
  <c r="K24" i="7"/>
  <c r="L24" i="7"/>
  <c r="B2" i="7"/>
  <c r="D16" i="7"/>
  <c r="D9" i="7" s="1"/>
  <c r="E16" i="7"/>
  <c r="E9" i="7" s="1"/>
  <c r="F16" i="7"/>
  <c r="F9" i="7" s="1"/>
  <c r="D17" i="7"/>
  <c r="E17" i="7"/>
  <c r="F17" i="7"/>
  <c r="D18" i="7"/>
  <c r="E18" i="7"/>
  <c r="F18" i="7"/>
  <c r="C17" i="7"/>
  <c r="C18" i="7"/>
  <c r="C16" i="7"/>
  <c r="C9" i="7" s="1"/>
  <c r="C11" i="7"/>
  <c r="D11" i="7"/>
  <c r="E11" i="7"/>
  <c r="F11" i="7"/>
  <c r="D8" i="7"/>
  <c r="E8" i="7"/>
  <c r="F8" i="7"/>
  <c r="C8" i="7"/>
  <c r="D22" i="7"/>
  <c r="E22" i="7"/>
  <c r="E31" i="9" s="1"/>
  <c r="F22" i="7"/>
  <c r="D23" i="7"/>
  <c r="E23" i="7"/>
  <c r="F23" i="7"/>
  <c r="D24" i="7"/>
  <c r="E24" i="7"/>
  <c r="F24" i="7"/>
  <c r="C22" i="7"/>
  <c r="C23" i="7"/>
  <c r="C24" i="7"/>
  <c r="B2" i="10"/>
  <c r="L16" i="10"/>
  <c r="K16" i="10"/>
  <c r="G6" i="10"/>
  <c r="G7" i="10"/>
  <c r="G8" i="10"/>
  <c r="G9" i="10"/>
  <c r="F23" i="10"/>
  <c r="L6" i="10" s="1"/>
  <c r="F24" i="10"/>
  <c r="L7" i="10" s="1"/>
  <c r="F25" i="10"/>
  <c r="L8" i="10" s="1"/>
  <c r="F26" i="10"/>
  <c r="L9" i="10" s="1"/>
  <c r="K9" i="10"/>
  <c r="K6" i="10"/>
  <c r="K7" i="10"/>
  <c r="K8" i="10"/>
  <c r="E6" i="10"/>
  <c r="E7" i="10"/>
  <c r="E8" i="10"/>
  <c r="E9" i="10"/>
  <c r="E5" i="10"/>
  <c r="E96" i="7" l="1"/>
  <c r="F24" i="9"/>
  <c r="I95" i="7"/>
  <c r="C96" i="7"/>
  <c r="L85" i="7"/>
  <c r="L94" i="7"/>
  <c r="I82" i="7"/>
  <c r="K72" i="7"/>
  <c r="L61" i="7"/>
  <c r="E29" i="9"/>
  <c r="I59" i="7"/>
  <c r="J90" i="7"/>
  <c r="K66" i="7"/>
  <c r="I63" i="7"/>
  <c r="I90" i="7"/>
  <c r="I96" i="7" s="1"/>
  <c r="J84" i="7"/>
  <c r="D86" i="7"/>
  <c r="H66" i="7"/>
  <c r="H63" i="7"/>
  <c r="I60" i="7"/>
  <c r="H62" i="7"/>
  <c r="J59" i="7"/>
  <c r="K73" i="7"/>
  <c r="H82" i="7"/>
  <c r="H64" i="7"/>
  <c r="I67" i="7"/>
  <c r="K99" i="7"/>
  <c r="K67" i="7"/>
  <c r="F28" i="9"/>
  <c r="F86" i="7"/>
  <c r="K97" i="7"/>
  <c r="L90" i="7"/>
  <c r="H84" i="7"/>
  <c r="C86" i="7"/>
  <c r="K74" i="7"/>
  <c r="K71" i="7"/>
  <c r="I66" i="7"/>
  <c r="H60" i="7"/>
  <c r="H73" i="7"/>
  <c r="I97" i="7"/>
  <c r="J73" i="7"/>
  <c r="K94" i="7"/>
  <c r="J67" i="7"/>
  <c r="E69" i="7"/>
  <c r="E76" i="7" s="1"/>
  <c r="E78" i="7" s="1"/>
  <c r="L82" i="7"/>
  <c r="J61" i="7"/>
  <c r="I85" i="7"/>
  <c r="K75" i="7"/>
  <c r="I64" i="7"/>
  <c r="I83" i="7"/>
  <c r="E86" i="7"/>
  <c r="L60" i="7"/>
  <c r="D31" i="9"/>
  <c r="F96" i="7"/>
  <c r="F98" i="7" s="1"/>
  <c r="F101" i="7" s="1"/>
  <c r="K62" i="7"/>
  <c r="J74" i="7"/>
  <c r="F15" i="9"/>
  <c r="C16" i="9"/>
  <c r="K11" i="10"/>
  <c r="L11" i="10"/>
  <c r="D25" i="9"/>
  <c r="D26" i="14"/>
  <c r="D17" i="9"/>
  <c r="E26" i="14"/>
  <c r="F25" i="9"/>
  <c r="E17" i="9"/>
  <c r="I18" i="9"/>
  <c r="E16" i="9"/>
  <c r="D16" i="9"/>
  <c r="F17" i="9"/>
  <c r="E98" i="7"/>
  <c r="E101" i="7" s="1"/>
  <c r="D98" i="7"/>
  <c r="D101" i="7" s="1"/>
  <c r="L81" i="7"/>
  <c r="L57" i="7"/>
  <c r="L62" i="7"/>
  <c r="J60" i="7"/>
  <c r="L75" i="7"/>
  <c r="L72" i="7"/>
  <c r="K84" i="7"/>
  <c r="K81" i="7"/>
  <c r="H95" i="7"/>
  <c r="L95" i="7"/>
  <c r="L96" i="7" s="1"/>
  <c r="L99" i="7"/>
  <c r="D29" i="9"/>
  <c r="C24" i="9"/>
  <c r="K85" i="7"/>
  <c r="J82" i="7"/>
  <c r="J66" i="7"/>
  <c r="J81" i="7"/>
  <c r="J57" i="7"/>
  <c r="L64" i="7"/>
  <c r="J62" i="7"/>
  <c r="J75" i="7"/>
  <c r="J72" i="7"/>
  <c r="H81" i="7"/>
  <c r="I84" i="7"/>
  <c r="I81" i="7"/>
  <c r="H90" i="7"/>
  <c r="J99" i="7"/>
  <c r="D69" i="7"/>
  <c r="D76" i="7" s="1"/>
  <c r="D78" i="7" s="1"/>
  <c r="I61" i="7"/>
  <c r="I94" i="7"/>
  <c r="H61" i="7"/>
  <c r="J85" i="7"/>
  <c r="H72" i="7"/>
  <c r="K60" i="7"/>
  <c r="I57" i="7"/>
  <c r="K64" i="7"/>
  <c r="I62" i="7"/>
  <c r="L59" i="7"/>
  <c r="I75" i="7"/>
  <c r="I72" i="7"/>
  <c r="H85" i="7"/>
  <c r="L83" i="7"/>
  <c r="K95" i="7"/>
  <c r="K96" i="7" s="1"/>
  <c r="I99" i="7"/>
  <c r="F16" i="9"/>
  <c r="D24" i="9"/>
  <c r="K82" i="7"/>
  <c r="C8" i="9"/>
  <c r="H8" i="9" s="1"/>
  <c r="C69" i="7"/>
  <c r="C76" i="7" s="1"/>
  <c r="C78" i="7" s="1"/>
  <c r="H75" i="7"/>
  <c r="L84" i="7"/>
  <c r="H99" i="7"/>
  <c r="H94" i="7"/>
  <c r="C15" i="9"/>
  <c r="L67" i="7"/>
  <c r="J64" i="7"/>
  <c r="K59" i="7"/>
  <c r="L74" i="7"/>
  <c r="L71" i="7"/>
  <c r="K83" i="7"/>
  <c r="J95" i="7"/>
  <c r="L97" i="7"/>
  <c r="D28" i="9"/>
  <c r="K61" i="7"/>
  <c r="H67" i="7"/>
  <c r="E28" i="9"/>
  <c r="H97" i="7"/>
  <c r="H83" i="7"/>
  <c r="H18" i="9"/>
  <c r="K18" i="9"/>
  <c r="L18" i="9"/>
  <c r="J18" i="9"/>
  <c r="D15" i="9"/>
  <c r="C55" i="14"/>
  <c r="F55" i="14"/>
  <c r="E55" i="14"/>
  <c r="K21" i="9"/>
  <c r="I21" i="9"/>
  <c r="J21" i="9"/>
  <c r="H21" i="9"/>
  <c r="L21" i="9"/>
  <c r="E38" i="7"/>
  <c r="E42" i="7" s="1"/>
  <c r="F38" i="7"/>
  <c r="F7" i="9" s="1"/>
  <c r="I45" i="7"/>
  <c r="C38" i="7"/>
  <c r="C42" i="7" s="1"/>
  <c r="J49" i="7"/>
  <c r="D38" i="7"/>
  <c r="D42" i="7" s="1"/>
  <c r="D13" i="7"/>
  <c r="J47" i="7"/>
  <c r="J46" i="7"/>
  <c r="K46" i="7"/>
  <c r="E51" i="7"/>
  <c r="H36" i="7"/>
  <c r="D51" i="7"/>
  <c r="I50" i="7"/>
  <c r="I49" i="7"/>
  <c r="E13" i="7"/>
  <c r="J48" i="7"/>
  <c r="J24" i="9" s="1"/>
  <c r="C31" i="7"/>
  <c r="I48" i="7"/>
  <c r="L47" i="7"/>
  <c r="C51" i="7"/>
  <c r="I47" i="7"/>
  <c r="K47" i="7"/>
  <c r="L11" i="7"/>
  <c r="I46" i="7"/>
  <c r="L50" i="7"/>
  <c r="L46" i="7"/>
  <c r="K50" i="7"/>
  <c r="K11" i="7"/>
  <c r="J50" i="7"/>
  <c r="L49" i="7"/>
  <c r="L45" i="7"/>
  <c r="K36" i="7"/>
  <c r="K49" i="7"/>
  <c r="K45" i="7"/>
  <c r="J45" i="7"/>
  <c r="L48" i="7"/>
  <c r="H50" i="7"/>
  <c r="F51" i="7"/>
  <c r="K48" i="7"/>
  <c r="L36" i="7"/>
  <c r="J36" i="7"/>
  <c r="I36" i="7"/>
  <c r="C10" i="7"/>
  <c r="H8" i="7"/>
  <c r="J11" i="7"/>
  <c r="I11" i="7"/>
  <c r="F13" i="7"/>
  <c r="J9" i="7"/>
  <c r="K9" i="7"/>
  <c r="I9" i="7"/>
  <c r="L9" i="7"/>
  <c r="C13" i="7"/>
  <c r="F10" i="7"/>
  <c r="E10" i="7"/>
  <c r="D10" i="7"/>
  <c r="D30" i="9" s="1"/>
  <c r="L8" i="7"/>
  <c r="I8" i="7"/>
  <c r="K8" i="7"/>
  <c r="J8" i="7"/>
  <c r="J28" i="7"/>
  <c r="I29" i="7"/>
  <c r="L28" i="7"/>
  <c r="H29" i="7"/>
  <c r="L29" i="7"/>
  <c r="J29" i="7"/>
  <c r="K29" i="7"/>
  <c r="F30" i="7"/>
  <c r="G22" i="10" s="1"/>
  <c r="E30" i="7"/>
  <c r="D30" i="7"/>
  <c r="H28" i="7"/>
  <c r="I28" i="7"/>
  <c r="C30" i="7"/>
  <c r="F31" i="7"/>
  <c r="K28" i="7"/>
  <c r="E31" i="7"/>
  <c r="D31" i="7"/>
  <c r="J16" i="7"/>
  <c r="F25" i="7"/>
  <c r="E25" i="7"/>
  <c r="I23" i="7"/>
  <c r="F19" i="7"/>
  <c r="K16" i="7"/>
  <c r="H22" i="7"/>
  <c r="H31" i="9" s="1"/>
  <c r="I22" i="7"/>
  <c r="I31" i="9" s="1"/>
  <c r="E19" i="7"/>
  <c r="L22" i="7"/>
  <c r="K22" i="7"/>
  <c r="J22" i="7"/>
  <c r="J31" i="9" s="1"/>
  <c r="C25" i="7"/>
  <c r="K18" i="7"/>
  <c r="D25" i="7"/>
  <c r="I18" i="7"/>
  <c r="L23" i="7"/>
  <c r="L17" i="7"/>
  <c r="H16" i="7"/>
  <c r="H9" i="7" s="1"/>
  <c r="K23" i="7"/>
  <c r="C19" i="7"/>
  <c r="H23" i="7"/>
  <c r="L16" i="7"/>
  <c r="J23" i="7"/>
  <c r="H11" i="7"/>
  <c r="I17" i="7"/>
  <c r="K17" i="7"/>
  <c r="L18" i="7"/>
  <c r="J17" i="7"/>
  <c r="J18" i="7"/>
  <c r="H18" i="7"/>
  <c r="H17" i="7"/>
  <c r="H41" i="7"/>
  <c r="H40" i="7"/>
  <c r="H39" i="7"/>
  <c r="H29" i="9" s="1"/>
  <c r="H45" i="7"/>
  <c r="H48" i="7"/>
  <c r="H24" i="9" s="1"/>
  <c r="H37" i="7"/>
  <c r="H47" i="7"/>
  <c r="H49" i="7"/>
  <c r="H46" i="7"/>
  <c r="I41" i="7"/>
  <c r="J39" i="7"/>
  <c r="J37" i="7"/>
  <c r="L40" i="7"/>
  <c r="I39" i="7"/>
  <c r="I40" i="7"/>
  <c r="L41" i="7"/>
  <c r="K41" i="7"/>
  <c r="K37" i="7"/>
  <c r="J41" i="7"/>
  <c r="K40" i="7"/>
  <c r="J40" i="7"/>
  <c r="L39" i="7"/>
  <c r="K39" i="7"/>
  <c r="K29" i="9" s="1"/>
  <c r="L37" i="7"/>
  <c r="L12" i="10"/>
  <c r="K12" i="10"/>
  <c r="F9" i="10"/>
  <c r="F8" i="10"/>
  <c r="F7" i="10"/>
  <c r="F6" i="10"/>
  <c r="I24" i="9" l="1"/>
  <c r="K24" i="9"/>
  <c r="K86" i="7"/>
  <c r="F42" i="7"/>
  <c r="E7" i="9"/>
  <c r="J96" i="7"/>
  <c r="C98" i="7"/>
  <c r="C101" i="7" s="1"/>
  <c r="E30" i="9"/>
  <c r="L24" i="9"/>
  <c r="C7" i="9"/>
  <c r="H25" i="9"/>
  <c r="C27" i="14"/>
  <c r="G25" i="14" s="1"/>
  <c r="L16" i="9"/>
  <c r="H17" i="9"/>
  <c r="J17" i="9"/>
  <c r="L17" i="9"/>
  <c r="H15" i="9"/>
  <c r="K17" i="9"/>
  <c r="I17" i="9"/>
  <c r="K15" i="9"/>
  <c r="F30" i="9"/>
  <c r="K31" i="9"/>
  <c r="I16" i="9"/>
  <c r="J28" i="9"/>
  <c r="J86" i="7"/>
  <c r="H16" i="9"/>
  <c r="K16" i="9"/>
  <c r="H96" i="7"/>
  <c r="I86" i="7"/>
  <c r="L86" i="7"/>
  <c r="I29" i="9"/>
  <c r="H28" i="9"/>
  <c r="L28" i="9"/>
  <c r="I15" i="9"/>
  <c r="H86" i="7"/>
  <c r="I28" i="9"/>
  <c r="L31" i="9"/>
  <c r="K28" i="9"/>
  <c r="J16" i="9"/>
  <c r="J29" i="9"/>
  <c r="L29" i="9"/>
  <c r="J15" i="9"/>
  <c r="L15" i="9"/>
  <c r="H38" i="7"/>
  <c r="H7" i="9" s="1"/>
  <c r="D7" i="9"/>
  <c r="D12" i="7"/>
  <c r="D12" i="9" s="1"/>
  <c r="D9" i="9"/>
  <c r="C12" i="7"/>
  <c r="C12" i="9" s="1"/>
  <c r="C9" i="9"/>
  <c r="F12" i="7"/>
  <c r="F12" i="9" s="1"/>
  <c r="F9" i="9"/>
  <c r="E12" i="7"/>
  <c r="E12" i="9" s="1"/>
  <c r="E9" i="9"/>
  <c r="H10" i="7"/>
  <c r="H30" i="9" s="1"/>
  <c r="J51" i="7"/>
  <c r="I10" i="7"/>
  <c r="I30" i="9" s="1"/>
  <c r="L10" i="7"/>
  <c r="K13" i="7"/>
  <c r="K10" i="7"/>
  <c r="J13" i="7"/>
  <c r="J10" i="7"/>
  <c r="J30" i="9" s="1"/>
  <c r="I13" i="7"/>
  <c r="L13" i="7"/>
  <c r="H13" i="7"/>
  <c r="H30" i="7"/>
  <c r="I30" i="7"/>
  <c r="L31" i="7"/>
  <c r="K30" i="7"/>
  <c r="L30" i="7"/>
  <c r="J31" i="7"/>
  <c r="K31" i="7"/>
  <c r="H31" i="7"/>
  <c r="I31" i="7"/>
  <c r="J30" i="7"/>
  <c r="J19" i="7"/>
  <c r="H19" i="7"/>
  <c r="K19" i="7"/>
  <c r="K25" i="7"/>
  <c r="H25" i="7"/>
  <c r="I25" i="7"/>
  <c r="J25" i="7"/>
  <c r="L25" i="7"/>
  <c r="I19" i="7"/>
  <c r="L19" i="7"/>
  <c r="L51" i="7"/>
  <c r="I51" i="7"/>
  <c r="K51" i="7"/>
  <c r="H51" i="7"/>
  <c r="H42" i="7" l="1"/>
  <c r="H25" i="14"/>
  <c r="G23" i="14"/>
  <c r="K30" i="9"/>
  <c r="L30" i="9"/>
  <c r="K8" i="9"/>
  <c r="J8" i="9"/>
  <c r="I8" i="9"/>
  <c r="L8" i="9"/>
  <c r="J9" i="9"/>
  <c r="I9" i="9"/>
  <c r="L9" i="9"/>
  <c r="K9" i="9"/>
  <c r="H12" i="7"/>
  <c r="H12" i="9" s="1"/>
  <c r="L12" i="7"/>
  <c r="L12" i="9" s="1"/>
  <c r="J12" i="7"/>
  <c r="J12" i="9" s="1"/>
  <c r="K12" i="7"/>
  <c r="K12" i="9" s="1"/>
  <c r="I12" i="7"/>
  <c r="I12" i="9" s="1"/>
  <c r="I25" i="14" l="1"/>
  <c r="H23" i="14"/>
  <c r="I25" i="9" s="1"/>
  <c r="H9" i="9"/>
  <c r="J25" i="14" l="1"/>
  <c r="I23" i="14"/>
  <c r="J25" i="9" s="1"/>
  <c r="C4" i="7"/>
  <c r="D4" i="7"/>
  <c r="E4" i="7"/>
  <c r="F4" i="7"/>
  <c r="H4" i="7" s="1"/>
  <c r="I4" i="7" s="1"/>
  <c r="J4" i="7" s="1"/>
  <c r="K4" i="7" s="1"/>
  <c r="L4" i="7" s="1"/>
  <c r="C6" i="3"/>
  <c r="D6" i="3"/>
  <c r="E6" i="3"/>
  <c r="F6" i="3"/>
  <c r="G6" i="3"/>
  <c r="H6" i="3"/>
  <c r="I6" i="3"/>
  <c r="J6" i="3"/>
  <c r="K6" i="3"/>
  <c r="B6" i="3"/>
  <c r="C5" i="1"/>
  <c r="D5" i="1"/>
  <c r="D6" i="1" s="1"/>
  <c r="D19" i="1" s="1"/>
  <c r="E5" i="1"/>
  <c r="F5" i="1"/>
  <c r="G5" i="1"/>
  <c r="H5" i="1"/>
  <c r="I5" i="1"/>
  <c r="J5" i="1"/>
  <c r="K5" i="1"/>
  <c r="B5" i="1"/>
  <c r="D13" i="1" s="1"/>
  <c r="E13" i="1" s="1"/>
  <c r="G13" i="1"/>
  <c r="J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F21" i="2" s="1"/>
  <c r="G18" i="2"/>
  <c r="H18" i="2"/>
  <c r="I18" i="2"/>
  <c r="J18" i="2"/>
  <c r="K18" i="2"/>
  <c r="B17" i="2"/>
  <c r="C4" i="2"/>
  <c r="D4" i="2"/>
  <c r="E24" i="2" s="1"/>
  <c r="E4" i="2"/>
  <c r="E5" i="2"/>
  <c r="F4" i="2"/>
  <c r="G4" i="2"/>
  <c r="H4" i="2"/>
  <c r="I4" i="2"/>
  <c r="I23" i="2" s="1"/>
  <c r="I5" i="2"/>
  <c r="J4" i="2"/>
  <c r="J5" i="2"/>
  <c r="J23" i="2" s="1"/>
  <c r="K4" i="2"/>
  <c r="K23" i="2" s="1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E14" i="3" s="1"/>
  <c r="F4" i="3"/>
  <c r="G4" i="3"/>
  <c r="H4" i="3"/>
  <c r="I4" i="3"/>
  <c r="I14" i="3" s="1"/>
  <c r="J4" i="3"/>
  <c r="K4" i="3"/>
  <c r="K14" i="3" s="1"/>
  <c r="C5" i="3"/>
  <c r="D5" i="3"/>
  <c r="E5" i="3"/>
  <c r="F5" i="3"/>
  <c r="G5" i="3"/>
  <c r="H5" i="3"/>
  <c r="L5" i="1" s="1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L10" i="1" s="1"/>
  <c r="I10" i="3"/>
  <c r="J10" i="3"/>
  <c r="K10" i="3"/>
  <c r="C11" i="3"/>
  <c r="D11" i="3"/>
  <c r="E11" i="3"/>
  <c r="F11" i="3"/>
  <c r="G11" i="3"/>
  <c r="H11" i="3"/>
  <c r="I11" i="3"/>
  <c r="J11" i="3"/>
  <c r="L11" i="1" s="1"/>
  <c r="K11" i="3"/>
  <c r="C12" i="3"/>
  <c r="D12" i="3"/>
  <c r="E12" i="3"/>
  <c r="F12" i="3"/>
  <c r="G12" i="3"/>
  <c r="H12" i="3"/>
  <c r="L12" i="1" s="1"/>
  <c r="L13" i="1" s="1"/>
  <c r="L14" i="1" s="1"/>
  <c r="L25" i="1" s="1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E6" i="1" s="1"/>
  <c r="E19" i="1" s="1"/>
  <c r="F4" i="1"/>
  <c r="F20" i="2" s="1"/>
  <c r="G4" i="1"/>
  <c r="H4" i="1"/>
  <c r="I4" i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D12" i="1"/>
  <c r="E12" i="1"/>
  <c r="E23" i="2" s="1"/>
  <c r="F12" i="1"/>
  <c r="F13" i="1" s="1"/>
  <c r="G12" i="1"/>
  <c r="H12" i="1"/>
  <c r="H13" i="1" s="1"/>
  <c r="I12" i="1"/>
  <c r="J12" i="1"/>
  <c r="K12" i="1"/>
  <c r="K13" i="1" s="1"/>
  <c r="C15" i="1"/>
  <c r="D15" i="1"/>
  <c r="E15" i="1"/>
  <c r="E14" i="1" s="1"/>
  <c r="F15" i="1"/>
  <c r="G15" i="1"/>
  <c r="G14" i="1" s="1"/>
  <c r="H15" i="1"/>
  <c r="I15" i="1"/>
  <c r="J15" i="1"/>
  <c r="J14" i="1"/>
  <c r="K15" i="1"/>
  <c r="B15" i="1"/>
  <c r="I13" i="1"/>
  <c r="B7" i="1"/>
  <c r="B4" i="1"/>
  <c r="B20" i="2" s="1"/>
  <c r="A1" i="1"/>
  <c r="E1" i="6"/>
  <c r="H1" i="1" s="1"/>
  <c r="H16" i="2"/>
  <c r="D16" i="2"/>
  <c r="F23" i="2"/>
  <c r="C23" i="2"/>
  <c r="K16" i="2"/>
  <c r="C16" i="2"/>
  <c r="G23" i="2"/>
  <c r="F16" i="2"/>
  <c r="B23" i="2"/>
  <c r="I6" i="1"/>
  <c r="I19" i="1" s="1"/>
  <c r="J6" i="1"/>
  <c r="J19" i="1"/>
  <c r="K6" i="1"/>
  <c r="K19" i="1" s="1"/>
  <c r="G6" i="1"/>
  <c r="G19" i="1" s="1"/>
  <c r="C6" i="1"/>
  <c r="C19" i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L15" i="1"/>
  <c r="B12" i="1"/>
  <c r="B13" i="1" s="1"/>
  <c r="B11" i="1"/>
  <c r="B10" i="1"/>
  <c r="B9" i="1"/>
  <c r="B8" i="1"/>
  <c r="B3" i="1"/>
  <c r="G14" i="3"/>
  <c r="G20" i="2"/>
  <c r="K20" i="2"/>
  <c r="D20" i="2"/>
  <c r="L23" i="1"/>
  <c r="J20" i="2"/>
  <c r="C20" i="2"/>
  <c r="E20" i="2"/>
  <c r="L6" i="1"/>
  <c r="L19" i="1" s="1"/>
  <c r="L24" i="1" s="1"/>
  <c r="L4" i="1"/>
  <c r="A1" i="3"/>
  <c r="A1" i="2"/>
  <c r="A1" i="4"/>
  <c r="H23" i="1"/>
  <c r="I23" i="1"/>
  <c r="J23" i="1"/>
  <c r="K25" i="14" l="1"/>
  <c r="K23" i="14" s="1"/>
  <c r="L25" i="9" s="1"/>
  <c r="J23" i="14"/>
  <c r="K25" i="9" s="1"/>
  <c r="F22" i="10"/>
  <c r="L5" i="10" s="1"/>
  <c r="K68" i="7"/>
  <c r="L68" i="7"/>
  <c r="I68" i="7"/>
  <c r="J68" i="7"/>
  <c r="I37" i="7"/>
  <c r="I16" i="7"/>
  <c r="J38" i="7"/>
  <c r="K38" i="7"/>
  <c r="L38" i="7"/>
  <c r="H71" i="7"/>
  <c r="I77" i="7"/>
  <c r="H77" i="7"/>
  <c r="J77" i="7"/>
  <c r="K77" i="7"/>
  <c r="L77" i="7"/>
  <c r="F14" i="1"/>
  <c r="C14" i="1"/>
  <c r="N11" i="1"/>
  <c r="M11" i="1"/>
  <c r="K14" i="1"/>
  <c r="H23" i="2"/>
  <c r="B6" i="1"/>
  <c r="B19" i="1" s="1"/>
  <c r="L7" i="1"/>
  <c r="D24" i="2"/>
  <c r="E1" i="3"/>
  <c r="I16" i="2"/>
  <c r="K24" i="2"/>
  <c r="D23" i="2"/>
  <c r="E1" i="2"/>
  <c r="I14" i="1"/>
  <c r="K25" i="1" s="1"/>
  <c r="M25" i="1" s="1"/>
  <c r="M14" i="1" s="1"/>
  <c r="C24" i="2"/>
  <c r="H14" i="1"/>
  <c r="L8" i="1"/>
  <c r="J24" i="2"/>
  <c r="I24" i="2"/>
  <c r="H24" i="2"/>
  <c r="G24" i="2"/>
  <c r="K24" i="1"/>
  <c r="M24" i="1" s="1"/>
  <c r="B14" i="1"/>
  <c r="D14" i="1"/>
  <c r="F24" i="2"/>
  <c r="J25" i="1"/>
  <c r="M9" i="1"/>
  <c r="N9" i="1"/>
  <c r="N8" i="1"/>
  <c r="M8" i="1"/>
  <c r="H25" i="1"/>
  <c r="I25" i="1"/>
  <c r="I20" i="2"/>
  <c r="H20" i="2"/>
  <c r="K23" i="1"/>
  <c r="M23" i="1" s="1"/>
  <c r="M4" i="1" s="1"/>
  <c r="H6" i="1"/>
  <c r="H19" i="1" s="1"/>
  <c r="I24" i="1" s="1"/>
  <c r="F6" i="1"/>
  <c r="F19" i="1" s="1"/>
  <c r="E1" i="4"/>
  <c r="I38" i="7" l="1"/>
  <c r="L42" i="7"/>
  <c r="L7" i="9"/>
  <c r="K42" i="7"/>
  <c r="K7" i="9"/>
  <c r="I42" i="7"/>
  <c r="I7" i="9"/>
  <c r="J42" i="7"/>
  <c r="J7" i="9"/>
  <c r="F5" i="10"/>
  <c r="L69" i="7"/>
  <c r="L76" i="7" s="1"/>
  <c r="L78" i="7" s="1"/>
  <c r="L98" i="7" s="1"/>
  <c r="L101" i="7" s="1"/>
  <c r="H57" i="7"/>
  <c r="H69" i="7" s="1"/>
  <c r="H76" i="7" s="1"/>
  <c r="H78" i="7" s="1"/>
  <c r="H98" i="7" s="1"/>
  <c r="H101" i="7" s="1"/>
  <c r="I69" i="7"/>
  <c r="I76" i="7" s="1"/>
  <c r="I78" i="7" s="1"/>
  <c r="I98" i="7" s="1"/>
  <c r="I101" i="7" s="1"/>
  <c r="K69" i="7"/>
  <c r="K76" i="7" s="1"/>
  <c r="K78" i="7" s="1"/>
  <c r="K98" i="7" s="1"/>
  <c r="K101" i="7" s="1"/>
  <c r="J69" i="7"/>
  <c r="J76" i="7" s="1"/>
  <c r="J78" i="7" s="1"/>
  <c r="J98" i="7" s="1"/>
  <c r="J101" i="7" s="1"/>
  <c r="N25" i="1"/>
  <c r="N14" i="1" s="1"/>
  <c r="N23" i="1"/>
  <c r="N4" i="1" s="1"/>
  <c r="H24" i="1"/>
  <c r="J24" i="1"/>
  <c r="N24" i="1" s="1"/>
  <c r="N6" i="1" s="1"/>
  <c r="M6" i="1"/>
  <c r="M10" i="1" s="1"/>
  <c r="M12" i="1" s="1"/>
  <c r="M13" i="1" s="1"/>
  <c r="M15" i="1" s="1"/>
  <c r="L15" i="10" l="1"/>
  <c r="L17" i="10" s="1"/>
  <c r="N10" i="1"/>
  <c r="N12" i="1" s="1"/>
  <c r="N13" i="1" s="1"/>
  <c r="N5" i="1"/>
  <c r="N15" i="1"/>
  <c r="M5" i="1"/>
  <c r="G5" i="10" l="1"/>
  <c r="K15" i="10" s="1"/>
  <c r="K5" i="10"/>
  <c r="K17" i="10" l="1"/>
</calcChain>
</file>

<file path=xl/sharedStrings.xml><?xml version="1.0" encoding="utf-8"?>
<sst xmlns="http://schemas.openxmlformats.org/spreadsheetml/2006/main" count="548" uniqueCount="302">
  <si>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</si>
  <si>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</si>
  <si>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</si>
  <si>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</si>
  <si>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</si>
  <si>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</si>
  <si>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</si>
  <si>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</si>
  <si>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</si>
  <si>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</si>
  <si>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</si>
  <si>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</si>
  <si>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</si>
  <si>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</si>
  <si>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</si>
  <si>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</si>
  <si>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</si>
  <si>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</si>
  <si>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</si>
  <si>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</si>
  <si>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</si>
  <si>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</si>
  <si>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</si>
  <si>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</si>
  <si>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</si>
  <si>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</si>
  <si>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</si>
  <si>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</si>
  <si>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</si>
  <si>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</si>
  <si>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</si>
  <si>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</si>
  <si>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</si>
  <si>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</si>
  <si>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</si>
  <si>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</si>
  <si>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</si>
  <si>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</si>
  <si>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</si>
  <si>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</si>
  <si>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</si>
  <si>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</si>
  <si>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</si>
  <si>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</si>
  <si>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</si>
  <si>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</si>
  <si>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</si>
  <si>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</si>
  <si>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</si>
  <si>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</si>
  <si>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</si>
  <si>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</si>
  <si>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</si>
  <si>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</si>
  <si>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</si>
  <si>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</si>
  <si>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</si>
  <si>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</si>
  <si>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</si>
  <si>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</si>
  <si>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</si>
  <si>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</si>
  <si>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</si>
  <si>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HDFC BANK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</si>
  <si>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</si>
  <si>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</si>
  <si>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</si>
  <si>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</si>
  <si>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</si>
  <si>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</si>
  <si>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</si>
  <si>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</si>
  <si>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</si>
  <si>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</si>
  <si>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</si>
  <si>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</si>
  <si>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</si>
  <si>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</si>
  <si>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</si>
  <si>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</si>
  <si>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</si>
  <si>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</si>
  <si>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</si>
  <si>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</si>
  <si>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</si>
  <si>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</si>
  <si>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</si>
  <si>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</si>
  <si>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</si>
  <si>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</si>
  <si>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</si>
  <si>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</si>
  <si>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</si>
  <si>
    <t>#</t>
  </si>
  <si>
    <t>Income Statement</t>
  </si>
  <si>
    <t>-</t>
  </si>
  <si>
    <t>Balance Sheet</t>
  </si>
  <si>
    <t>Years</t>
  </si>
  <si>
    <t>Total Assets</t>
  </si>
  <si>
    <t>Cash Flow Statement</t>
  </si>
  <si>
    <t>Company Name</t>
  </si>
  <si>
    <t>Market Capitalisation</t>
  </si>
  <si>
    <t>Share Price</t>
  </si>
  <si>
    <t>Share Outstanding</t>
  </si>
  <si>
    <t>Net Income</t>
  </si>
  <si>
    <t>P/E</t>
  </si>
  <si>
    <t>Market Data</t>
  </si>
  <si>
    <t>Valuation</t>
  </si>
  <si>
    <t>ICICI BANK LTD</t>
  </si>
  <si>
    <t>KOTAK MAH BANK</t>
  </si>
  <si>
    <t>AXIS BANK</t>
  </si>
  <si>
    <t>IDBI BANK</t>
  </si>
  <si>
    <t>Mean</t>
  </si>
  <si>
    <t>Median</t>
  </si>
  <si>
    <t>Implied Market Value</t>
  </si>
  <si>
    <t>Shares outstanding</t>
  </si>
  <si>
    <t>P/B</t>
  </si>
  <si>
    <t>Equity Capital</t>
  </si>
  <si>
    <t>Shares O/S</t>
  </si>
  <si>
    <t>BVPS</t>
  </si>
  <si>
    <t>Book Value Per Share Schedule</t>
  </si>
  <si>
    <t>Implied Share Price</t>
  </si>
  <si>
    <t>Notes:</t>
  </si>
  <si>
    <t>1. Valuation assumes peer comparability and does not factor in near-term macro or regulatory risks.</t>
  </si>
  <si>
    <t>2. Median multiples used to calculate implied share price.</t>
  </si>
  <si>
    <t>Deposits</t>
  </si>
  <si>
    <t>CAPITAL AND LIABILITIES</t>
  </si>
  <si>
    <t>ASSETS</t>
  </si>
  <si>
    <t>Capital</t>
  </si>
  <si>
    <t xml:space="preserve">Reserves and surplus </t>
  </si>
  <si>
    <t xml:space="preserve">Employees stock options outstanding  </t>
  </si>
  <si>
    <t xml:space="preserve">Deposits </t>
  </si>
  <si>
    <t xml:space="preserve">Borrowings </t>
  </si>
  <si>
    <t xml:space="preserve">Other liabilities and provisions  </t>
  </si>
  <si>
    <t xml:space="preserve">Total  </t>
  </si>
  <si>
    <t xml:space="preserve">Cash and balances with Reserve Bank of India </t>
  </si>
  <si>
    <t xml:space="preserve">Balances with banks and money at call and short notice  </t>
  </si>
  <si>
    <t xml:space="preserve">Investments  </t>
  </si>
  <si>
    <t>Advances</t>
  </si>
  <si>
    <t xml:space="preserve">Fixed assets  </t>
  </si>
  <si>
    <t xml:space="preserve">Other assets </t>
  </si>
  <si>
    <t xml:space="preserve">Total </t>
  </si>
  <si>
    <t>Bills for collection</t>
  </si>
  <si>
    <t>Contingent liabilities</t>
  </si>
  <si>
    <t>I. INCOME</t>
  </si>
  <si>
    <t>II. EXPENDITURE</t>
  </si>
  <si>
    <t>III. PROFIT</t>
  </si>
  <si>
    <t>IV. APPROPRIATIONS</t>
  </si>
  <si>
    <t>V. EARNINGS PER EQUITY SHARE (Face value ` 1/- per share) 18 (31) ` `</t>
  </si>
  <si>
    <t xml:space="preserve">Interest earned   </t>
  </si>
  <si>
    <t>Other income</t>
  </si>
  <si>
    <t xml:space="preserve">Operating expenses </t>
  </si>
  <si>
    <t xml:space="preserve">Provisions and contingencies  </t>
  </si>
  <si>
    <t xml:space="preserve">Net profit for the year </t>
  </si>
  <si>
    <t xml:space="preserve">Balance in the Profit and Loss account brought forward </t>
  </si>
  <si>
    <t xml:space="preserve">Additions on Amalgamation (net) </t>
  </si>
  <si>
    <t xml:space="preserve">Transfer to Statutory Reserve  </t>
  </si>
  <si>
    <t xml:space="preserve">Transfer to General Reserve </t>
  </si>
  <si>
    <t xml:space="preserve">Transfer to Special Reserve </t>
  </si>
  <si>
    <t xml:space="preserve">Transfer to Capital Reserve </t>
  </si>
  <si>
    <t>Transfer to / (from) Investment Reserve Account (net)</t>
  </si>
  <si>
    <t xml:space="preserve">Dividend pertaining to previous year paid during the year  </t>
  </si>
  <si>
    <t xml:space="preserve">Basic  </t>
  </si>
  <si>
    <t xml:space="preserve">Diluted  </t>
  </si>
  <si>
    <t xml:space="preserve">Balance carried over to Balance Sheet </t>
  </si>
  <si>
    <t xml:space="preserve">Interest expended </t>
  </si>
  <si>
    <t>Transfer to / (from) Investment Fluctuation Reserve</t>
  </si>
  <si>
    <t>Cash flows from operating activities:</t>
  </si>
  <si>
    <t>Adjustments for:</t>
  </si>
  <si>
    <t>Profit before income tax</t>
  </si>
  <si>
    <t xml:space="preserve">Depreciation on fixed assets  </t>
  </si>
  <si>
    <t xml:space="preserve">(Profit) / loss on revaluation of investments  </t>
  </si>
  <si>
    <t xml:space="preserve">Amortisation of premium / (discount) on investments  </t>
  </si>
  <si>
    <t xml:space="preserve">(Profit) / loss on sale of investment in subsidiary </t>
  </si>
  <si>
    <t xml:space="preserve">Provision / charge for non performing assets  </t>
  </si>
  <si>
    <t xml:space="preserve">Floating provisions </t>
  </si>
  <si>
    <t xml:space="preserve">Provision / (write-back) for standard assets and contingencies  </t>
  </si>
  <si>
    <t xml:space="preserve">Dividend from subsidiaries </t>
  </si>
  <si>
    <t xml:space="preserve">Employee stock options / units expense  </t>
  </si>
  <si>
    <t xml:space="preserve">Increase in investments  </t>
  </si>
  <si>
    <t xml:space="preserve">Increase in advances  </t>
  </si>
  <si>
    <t xml:space="preserve">Increase in deposits </t>
  </si>
  <si>
    <t xml:space="preserve">Increase in other assets  </t>
  </si>
  <si>
    <t xml:space="preserve">Increase / (decrease) in other liabilities and provisions </t>
  </si>
  <si>
    <t xml:space="preserve">Direct taxes paid (net of refunds) </t>
  </si>
  <si>
    <t xml:space="preserve">Net cash flows from operating activities  </t>
  </si>
  <si>
    <t>Cash flows from investing activities:</t>
  </si>
  <si>
    <t>Cash flows from financing activities:</t>
  </si>
  <si>
    <t xml:space="preserve">Purchase of fixed assets </t>
  </si>
  <si>
    <t xml:space="preserve">Proceeds from sale of fixed assets </t>
  </si>
  <si>
    <t>Investment in subsidiaries</t>
  </si>
  <si>
    <t xml:space="preserve">Proceeds from sale of investment in subsidiary (net) </t>
  </si>
  <si>
    <t>Dividend from subsidiaries</t>
  </si>
  <si>
    <t>Net cash flow (used in) / from investing activities</t>
  </si>
  <si>
    <t xml:space="preserve">Proceeds from exercise of convertible equity warrants </t>
  </si>
  <si>
    <t xml:space="preserve">Proceeds from issue of share capital other than warrants </t>
  </si>
  <si>
    <t xml:space="preserve">Dividend paid during the year </t>
  </si>
  <si>
    <t>Net cash flow used in financing activities</t>
  </si>
  <si>
    <t>Effect of fluctuation in foreign currency translation reserve</t>
  </si>
  <si>
    <t>Net increase in cash and cash equivalents</t>
  </si>
  <si>
    <t xml:space="preserve">Cash and cash equivalents at the beginning of the year </t>
  </si>
  <si>
    <t xml:space="preserve">Cash and cash equivalents acquired on amalgamation </t>
  </si>
  <si>
    <t xml:space="preserve">Cash and cash equivalents at the end of the year </t>
  </si>
  <si>
    <t>Schedule - Borrowing</t>
  </si>
  <si>
    <t xml:space="preserve"> of which : total credit risk weighted assets </t>
  </si>
  <si>
    <t>of which : total market risk weighted assets</t>
  </si>
  <si>
    <t xml:space="preserve">of which : total operational risk weighted assets </t>
  </si>
  <si>
    <t>Common Equity Tier 1 capital (CET1)</t>
  </si>
  <si>
    <t xml:space="preserve">Additional Tier 1 capital (AT1) </t>
  </si>
  <si>
    <t xml:space="preserve"> Tier 1 capital (T1 = CET1 + AT1)  </t>
  </si>
  <si>
    <t xml:space="preserve">Tier 2 capital before regulatory adjustments </t>
  </si>
  <si>
    <t xml:space="preserve">Total regulatory adjustments to Tier 2 capital </t>
  </si>
  <si>
    <t xml:space="preserve">Tier 2 capital (T2) </t>
  </si>
  <si>
    <t xml:space="preserve">Profit/ (loss) on sale of fixed assets </t>
  </si>
  <si>
    <t xml:space="preserve">Increase/ (Decrease) in other borrowings </t>
  </si>
  <si>
    <t xml:space="preserve">Proceeds from issue of share capital, net of issue expenses </t>
  </si>
  <si>
    <t xml:space="preserve">Proceeds from issue of Tier 1 and Tier 2 capital bonds </t>
  </si>
  <si>
    <t>Redemption of Tier 1 and Tier 2 capital bonds</t>
  </si>
  <si>
    <t>Weighted average number of equity shares used in computing basic earnings per equity share</t>
  </si>
  <si>
    <t>Weighted average number of equity shares used in computing diluted earnings per equity share</t>
  </si>
  <si>
    <t xml:space="preserve">Effect of potential equity shares outstanding </t>
  </si>
  <si>
    <t>Risk weighted Assets</t>
  </si>
  <si>
    <t>Weighted average number of equity shares(Basic EPS)</t>
  </si>
  <si>
    <t>Weighted average number of equity shares(Diluted EPS)</t>
  </si>
  <si>
    <t>IV. EARNINGS PER EQUITY SHARE</t>
  </si>
  <si>
    <t>Historic</t>
  </si>
  <si>
    <t>Forecast</t>
  </si>
  <si>
    <r>
      <t>Net Interest Income(NII)</t>
    </r>
    <r>
      <rPr>
        <i/>
        <vertAlign val="superscript"/>
        <sz val="11"/>
        <color theme="1" tint="0.499984740745262"/>
        <rFont val="Calibri"/>
        <family val="2"/>
        <scheme val="minor"/>
      </rPr>
      <t>2</t>
    </r>
  </si>
  <si>
    <r>
      <t>Operating Income</t>
    </r>
    <r>
      <rPr>
        <b/>
        <i/>
        <vertAlign val="superscript"/>
        <sz val="11"/>
        <color theme="1" tint="0.499984740745262"/>
        <rFont val="Calibri"/>
        <family val="2"/>
        <scheme val="minor"/>
      </rPr>
      <t>4</t>
    </r>
  </si>
  <si>
    <r>
      <t xml:space="preserve"> less: Interest expended</t>
    </r>
    <r>
      <rPr>
        <i/>
        <vertAlign val="superscript"/>
        <sz val="11"/>
        <color theme="1" tint="0.499984740745262"/>
        <rFont val="Calibri"/>
        <family val="2"/>
        <scheme val="minor"/>
      </rPr>
      <t>1</t>
    </r>
  </si>
  <si>
    <r>
      <t>Add: Other income</t>
    </r>
    <r>
      <rPr>
        <vertAlign val="superscript"/>
        <sz val="11"/>
        <color theme="1"/>
        <rFont val="Calibri"/>
        <family val="2"/>
        <scheme val="minor"/>
      </rPr>
      <t>3</t>
    </r>
  </si>
  <si>
    <t>Total  Liabilities</t>
  </si>
  <si>
    <t>Shareholer's Fund</t>
  </si>
  <si>
    <t xml:space="preserve">Total capital ratio </t>
  </si>
  <si>
    <t>Average Total Assets</t>
  </si>
  <si>
    <t>Weighted Average Number of Equity Shares</t>
  </si>
  <si>
    <t>I.</t>
  </si>
  <si>
    <t>II.</t>
  </si>
  <si>
    <t>III.</t>
  </si>
  <si>
    <t>Earning Assets</t>
  </si>
  <si>
    <t>Opening Advance</t>
  </si>
  <si>
    <t>Opening Investments</t>
  </si>
  <si>
    <t>Closing Advance</t>
  </si>
  <si>
    <t>Closing Investments</t>
  </si>
  <si>
    <t>Opening Earning Assets</t>
  </si>
  <si>
    <t>Closing Earning Assets</t>
  </si>
  <si>
    <t>Average Earning Assets</t>
  </si>
  <si>
    <t>Advances/ Loans</t>
  </si>
  <si>
    <t>Opening Assets</t>
  </si>
  <si>
    <t>Closing Assets</t>
  </si>
  <si>
    <t/>
  </si>
  <si>
    <t>Cost-to-Income</t>
  </si>
  <si>
    <t>Gross NPA</t>
  </si>
  <si>
    <t>Net NPA</t>
  </si>
  <si>
    <t>Credit-Deposit Ratio</t>
  </si>
  <si>
    <t>CASA Ratio</t>
  </si>
  <si>
    <t>Provision Coverage Ratio(PCR)</t>
  </si>
  <si>
    <t>Net Non-Performing Assets (NNPA)</t>
  </si>
  <si>
    <t>Gross Non-Performing Assets (GNPA)</t>
  </si>
  <si>
    <t>Credit Cost Ratio</t>
  </si>
  <si>
    <t>Return on Equity (ROE)</t>
  </si>
  <si>
    <t>Return on Assets (ROA)</t>
  </si>
  <si>
    <t>Net Interest Margins (NIM)</t>
  </si>
  <si>
    <t>Capital Adequacy Ratio (CAR)</t>
  </si>
  <si>
    <t>NII</t>
  </si>
  <si>
    <t>PAT</t>
  </si>
  <si>
    <t>IV.</t>
  </si>
  <si>
    <t>Schedule - Deposits</t>
  </si>
  <si>
    <t>Demand Deposits</t>
  </si>
  <si>
    <t>Saving Deposits</t>
  </si>
  <si>
    <t>Term Deposits</t>
  </si>
  <si>
    <t>V.</t>
  </si>
  <si>
    <t>Asset Quality</t>
  </si>
  <si>
    <t>Substandard</t>
  </si>
  <si>
    <t>Doubtful</t>
  </si>
  <si>
    <t>Loss</t>
  </si>
  <si>
    <t>Provisions</t>
  </si>
  <si>
    <t>I. Profitability Ratios</t>
  </si>
  <si>
    <t>II. Efficiency Ratios</t>
  </si>
  <si>
    <t>III. Asset Quality Ratios</t>
  </si>
  <si>
    <t>IV. Capital Adequacy Ratio</t>
  </si>
  <si>
    <t>V. Liquidity and Funding Ratios</t>
  </si>
  <si>
    <t>VI. Growth Ratios (% YoY)</t>
  </si>
  <si>
    <t>CASA Deposits</t>
  </si>
  <si>
    <t>CASA Growth Rate (Assumed)</t>
  </si>
  <si>
    <t>Deposit Growth Rate - Historic</t>
  </si>
  <si>
    <t>Deposit Growth Rate - Median</t>
  </si>
  <si>
    <t>1.Forecast ratios are based on stable funding mix assumptions and conservative asset quality normalization</t>
  </si>
  <si>
    <t>2.CASA ratios in forecast years are management assumptions, not trend extrapolations</t>
  </si>
  <si>
    <t>1.Valuation suggests modest upside on a P/B basis, while P/E indicates fair valuation, supporting a long-term hold to mild buy view.</t>
  </si>
  <si>
    <t>P/E based</t>
  </si>
  <si>
    <t>P/B based</t>
  </si>
  <si>
    <t>3. Given the balance-sheet–driven nature of banking valuations, greater weight is assigned to P/B, with P/E used as a corroborative check.</t>
  </si>
  <si>
    <t>2. HDFC Bank’s lower P/B relative to peers may reflect near-term growth moderation post-merger, despite strong profitability metrics</t>
  </si>
  <si>
    <t>Assumption Drivers</t>
  </si>
  <si>
    <t>Year</t>
  </si>
  <si>
    <t>Computed</t>
  </si>
  <si>
    <t>Reported</t>
  </si>
  <si>
    <t>Total RWA</t>
  </si>
  <si>
    <t>3.RWA assumed to grow in line with advances at X%</t>
  </si>
  <si>
    <t>4. Excess capital assumed retained as management buffer</t>
  </si>
  <si>
    <t>CASA Stabilisation for forecast period: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</si>
</sst>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#,##0.0;\(#,##0.0\)"/>
    <numFmt numFmtId="167" formatCode="mmm/yy&quot;A&quot;"/>
    <numFmt numFmtId="168" formatCode="mmm/yy&quot;E&quot;"/>
    <numFmt numFmtId="169" formatCode="#,##0.0&quot;x&quot;;\(#,##0.0\)&quot;x&quot;"/>
    <numFmt numFmtId="170" formatCode="#,##0.0&quot;x&quot;"/>
    <numFmt numFmtId="171" formatCode="#,##0.0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 tint="0.34998626667073579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 tint="0.499984740745262"/>
      <name val="Calibri"/>
      <family val="2"/>
      <scheme val="minor"/>
    </font>
    <font>
      <i/>
      <vertAlign val="superscript"/>
      <sz val="11"/>
      <color theme="1" tint="0.499984740745262"/>
      <name val="Calibri"/>
      <family val="2"/>
      <scheme val="minor"/>
    </font>
    <font>
      <b/>
      <i/>
      <sz val="11"/>
      <color theme="1" tint="0.499984740745262"/>
      <name val="Calibri"/>
      <family val="2"/>
      <scheme val="minor"/>
    </font>
    <font>
      <b/>
      <i/>
      <vertAlign val="superscript"/>
      <sz val="11"/>
      <color theme="1" tint="0.499984740745262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 style="dashed">
        <color auto="1"/>
      </top>
      <bottom/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thin">
        <color theme="0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122">
    <xf numFmtId="0" fontId="0" fillId="0" borderId="0" xfId="0"/>
    <xf numFmtId="43" fontId="1" fillId="0" borderId="0" xfId="1" applyFont="1" applyBorder="1"/>
    <xf numFmtId="0" fontId="1" fillId="0" borderId="0" xfId="0" applyFont="1"/>
    <xf numFmtId="0" fontId="8" fillId="0" borderId="0" xfId="0" applyFont="1"/>
    <xf numFmtId="43" fontId="0" fillId="0" borderId="0" xfId="1" applyFont="1" applyBorder="1"/>
    <xf numFmtId="10" fontId="0" fillId="0" borderId="0" xfId="0" applyNumberFormat="1"/>
    <xf numFmtId="43" fontId="3" fillId="0" borderId="0" xfId="1" applyFont="1" applyBorder="1"/>
    <xf numFmtId="9" fontId="3" fillId="0" borderId="0" xfId="1" applyNumberFormat="1" applyFont="1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43" fontId="0" fillId="0" borderId="0" xfId="1" applyFont="1" applyBorder="1" applyAlignment="1">
      <alignment horizontal="center"/>
    </xf>
    <xf numFmtId="43" fontId="1" fillId="0" borderId="0" xfId="1" applyFont="1" applyBorder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/>
    <xf numFmtId="0" fontId="0" fillId="0" borderId="0" xfId="0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9" fillId="0" borderId="0" xfId="0" applyFont="1"/>
    <xf numFmtId="164" fontId="0" fillId="0" borderId="0" xfId="1" applyNumberFormat="1" applyFont="1" applyBorder="1"/>
    <xf numFmtId="17" fontId="0" fillId="0" borderId="0" xfId="0" applyNumberFormat="1"/>
    <xf numFmtId="0" fontId="1" fillId="7" borderId="0" xfId="0" applyFont="1" applyFill="1"/>
    <xf numFmtId="0" fontId="0" fillId="7" borderId="0" xfId="0" applyFill="1"/>
    <xf numFmtId="10" fontId="0" fillId="0" borderId="0" xfId="6" applyNumberFormat="1" applyFont="1"/>
    <xf numFmtId="166" fontId="0" fillId="0" borderId="0" xfId="0" applyNumberFormat="1"/>
    <xf numFmtId="166" fontId="1" fillId="0" borderId="0" xfId="0" applyNumberFormat="1" applyFont="1"/>
    <xf numFmtId="0" fontId="2" fillId="6" borderId="0" xfId="0" applyFont="1" applyFill="1"/>
    <xf numFmtId="166" fontId="1" fillId="0" borderId="1" xfId="0" applyNumberFormat="1" applyFont="1" applyBorder="1"/>
    <xf numFmtId="0" fontId="1" fillId="0" borderId="1" xfId="0" applyFont="1" applyBorder="1"/>
    <xf numFmtId="3" fontId="0" fillId="0" borderId="0" xfId="0" applyNumberFormat="1"/>
    <xf numFmtId="167" fontId="2" fillId="6" borderId="0" xfId="0" applyNumberFormat="1" applyFont="1" applyFill="1"/>
    <xf numFmtId="168" fontId="2" fillId="6" borderId="0" xfId="0" applyNumberFormat="1" applyFont="1" applyFill="1"/>
    <xf numFmtId="10" fontId="0" fillId="0" borderId="0" xfId="6" applyNumberFormat="1" applyFont="1" applyAlignment="1">
      <alignment horizontal="right"/>
    </xf>
    <xf numFmtId="0" fontId="2" fillId="0" borderId="0" xfId="0" applyFont="1"/>
    <xf numFmtId="0" fontId="10" fillId="0" borderId="0" xfId="0" applyFont="1"/>
    <xf numFmtId="0" fontId="1" fillId="0" borderId="2" xfId="0" applyFont="1" applyBorder="1"/>
    <xf numFmtId="0" fontId="0" fillId="0" borderId="1" xfId="0" applyBorder="1"/>
    <xf numFmtId="10" fontId="0" fillId="0" borderId="1" xfId="6" applyNumberFormat="1" applyFont="1" applyBorder="1" applyAlignment="1">
      <alignment horizontal="right"/>
    </xf>
    <xf numFmtId="0" fontId="0" fillId="0" borderId="3" xfId="0" applyBorder="1"/>
    <xf numFmtId="10" fontId="0" fillId="0" borderId="3" xfId="6" applyNumberFormat="1" applyFont="1" applyBorder="1" applyAlignment="1">
      <alignment horizontal="right"/>
    </xf>
    <xf numFmtId="10" fontId="0" fillId="0" borderId="0" xfId="6" applyNumberFormat="1" applyFont="1" applyBorder="1"/>
    <xf numFmtId="43" fontId="2" fillId="6" borderId="0" xfId="0" applyNumberFormat="1" applyFont="1" applyFill="1" applyAlignment="1">
      <alignment horizontal="center"/>
    </xf>
    <xf numFmtId="167" fontId="2" fillId="6" borderId="0" xfId="0" applyNumberFormat="1" applyFont="1" applyFill="1" applyAlignment="1">
      <alignment horizontal="center"/>
    </xf>
    <xf numFmtId="168" fontId="2" fillId="6" borderId="0" xfId="0" applyNumberFormat="1" applyFont="1" applyFill="1" applyAlignment="1">
      <alignment horizontal="center"/>
    </xf>
    <xf numFmtId="168" fontId="2" fillId="6" borderId="4" xfId="0" applyNumberFormat="1" applyFont="1" applyFill="1" applyBorder="1" applyAlignment="1">
      <alignment horizontal="center"/>
    </xf>
    <xf numFmtId="0" fontId="2" fillId="6" borderId="0" xfId="0" applyFont="1" applyFill="1" applyAlignment="1">
      <alignment horizontal="left"/>
    </xf>
    <xf numFmtId="167" fontId="2" fillId="6" borderId="0" xfId="0" applyNumberFormat="1" applyFont="1" applyFill="1" applyAlignment="1">
      <alignment horizontal="left"/>
    </xf>
    <xf numFmtId="0" fontId="11" fillId="0" borderId="0" xfId="0" applyFont="1" applyAlignment="1">
      <alignment horizontal="left"/>
    </xf>
    <xf numFmtId="0" fontId="2" fillId="6" borderId="0" xfId="0" applyFont="1" applyFill="1" applyAlignment="1">
      <alignment horizontal="right"/>
    </xf>
    <xf numFmtId="0" fontId="0" fillId="0" borderId="0" xfId="0" applyAlignment="1">
      <alignment horizontal="right"/>
    </xf>
    <xf numFmtId="43" fontId="12" fillId="0" borderId="0" xfId="0" applyNumberFormat="1" applyFont="1" applyAlignment="1">
      <alignment horizontal="left" vertical="top" wrapText="1"/>
    </xf>
    <xf numFmtId="166" fontId="12" fillId="0" borderId="0" xfId="0" applyNumberFormat="1" applyFont="1" applyAlignment="1">
      <alignment horizontal="right"/>
    </xf>
    <xf numFmtId="166" fontId="0" fillId="0" borderId="0" xfId="0" applyNumberFormat="1" applyAlignment="1">
      <alignment horizontal="right"/>
    </xf>
    <xf numFmtId="170" fontId="0" fillId="0" borderId="0" xfId="0" applyNumberFormat="1" applyAlignment="1">
      <alignment horizontal="right"/>
    </xf>
    <xf numFmtId="0" fontId="1" fillId="0" borderId="0" xfId="0" applyFont="1" applyAlignment="1">
      <alignment horizontal="right"/>
    </xf>
    <xf numFmtId="166" fontId="9" fillId="0" borderId="0" xfId="0" applyNumberFormat="1" applyFont="1" applyAlignment="1">
      <alignment horizontal="right"/>
    </xf>
    <xf numFmtId="166" fontId="9" fillId="0" borderId="1" xfId="0" applyNumberFormat="1" applyFont="1" applyBorder="1" applyAlignment="1">
      <alignment horizontal="right"/>
    </xf>
    <xf numFmtId="0" fontId="0" fillId="8" borderId="0" xfId="0" applyFill="1" applyAlignment="1">
      <alignment horizontal="right"/>
    </xf>
    <xf numFmtId="167" fontId="13" fillId="0" borderId="0" xfId="0" applyNumberFormat="1" applyFont="1" applyAlignment="1">
      <alignment horizontal="left"/>
    </xf>
    <xf numFmtId="0" fontId="1" fillId="8" borderId="0" xfId="0" applyFont="1" applyFill="1" applyAlignment="1">
      <alignment horizontal="left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right"/>
    </xf>
    <xf numFmtId="0" fontId="15" fillId="0" borderId="0" xfId="0" applyFont="1" applyAlignment="1">
      <alignment horizontal="right"/>
    </xf>
    <xf numFmtId="0" fontId="14" fillId="0" borderId="0" xfId="0" applyFont="1"/>
    <xf numFmtId="0" fontId="16" fillId="0" borderId="0" xfId="0" applyFont="1" applyAlignment="1">
      <alignment horizontal="left"/>
    </xf>
    <xf numFmtId="1" fontId="0" fillId="0" borderId="0" xfId="0" applyNumberFormat="1"/>
    <xf numFmtId="1" fontId="1" fillId="0" borderId="0" xfId="0" applyNumberFormat="1" applyFont="1"/>
    <xf numFmtId="167" fontId="1" fillId="0" borderId="0" xfId="0" applyNumberFormat="1" applyFont="1"/>
    <xf numFmtId="10" fontId="0" fillId="0" borderId="0" xfId="6" applyNumberFormat="1" applyFont="1" applyBorder="1" applyAlignment="1">
      <alignment horizontal="right"/>
    </xf>
    <xf numFmtId="4" fontId="0" fillId="0" borderId="0" xfId="0" applyNumberFormat="1"/>
    <xf numFmtId="166" fontId="1" fillId="0" borderId="2" xfId="0" applyNumberFormat="1" applyFont="1" applyBorder="1"/>
    <xf numFmtId="171" fontId="0" fillId="0" borderId="0" xfId="0" applyNumberFormat="1"/>
    <xf numFmtId="0" fontId="1" fillId="0" borderId="3" xfId="0" applyFont="1" applyBorder="1"/>
    <xf numFmtId="166" fontId="1" fillId="0" borderId="3" xfId="0" applyNumberFormat="1" applyFont="1" applyBorder="1"/>
    <xf numFmtId="2" fontId="0" fillId="0" borderId="0" xfId="0" applyNumberFormat="1"/>
    <xf numFmtId="14" fontId="0" fillId="0" borderId="0" xfId="0" applyNumberFormat="1"/>
    <xf numFmtId="10" fontId="1" fillId="0" borderId="0" xfId="6" applyNumberFormat="1" applyFont="1"/>
    <xf numFmtId="9" fontId="1" fillId="0" borderId="0" xfId="6" applyFont="1"/>
    <xf numFmtId="9" fontId="0" fillId="0" borderId="0" xfId="0" applyNumberFormat="1"/>
    <xf numFmtId="0" fontId="18" fillId="8" borderId="0" xfId="0" applyFont="1" applyFill="1"/>
    <xf numFmtId="166" fontId="18" fillId="8" borderId="0" xfId="0" applyNumberFormat="1" applyFont="1" applyFill="1"/>
    <xf numFmtId="0" fontId="20" fillId="8" borderId="0" xfId="0" applyFont="1" applyFill="1"/>
    <xf numFmtId="166" fontId="20" fillId="8" borderId="0" xfId="0" applyNumberFormat="1" applyFont="1" applyFill="1"/>
    <xf numFmtId="166" fontId="14" fillId="0" borderId="0" xfId="0" applyNumberFormat="1" applyFont="1"/>
    <xf numFmtId="14" fontId="1" fillId="0" borderId="0" xfId="0" applyNumberFormat="1" applyFont="1"/>
    <xf numFmtId="3" fontId="1" fillId="0" borderId="0" xfId="0" applyNumberFormat="1" applyFont="1"/>
    <xf numFmtId="166" fontId="3" fillId="0" borderId="0" xfId="6" applyNumberFormat="1" applyFont="1" applyFill="1" applyBorder="1"/>
    <xf numFmtId="166" fontId="0" fillId="7" borderId="0" xfId="0" applyNumberFormat="1" applyFill="1"/>
    <xf numFmtId="166" fontId="14" fillId="0" borderId="0" xfId="0" quotePrefix="1" applyNumberFormat="1" applyFont="1"/>
    <xf numFmtId="2" fontId="1" fillId="0" borderId="0" xfId="0" applyNumberFormat="1" applyFont="1"/>
    <xf numFmtId="169" fontId="0" fillId="0" borderId="0" xfId="0" applyNumberFormat="1"/>
    <xf numFmtId="0" fontId="0" fillId="0" borderId="2" xfId="0" applyBorder="1"/>
    <xf numFmtId="2" fontId="1" fillId="0" borderId="0" xfId="6" applyNumberFormat="1" applyFont="1"/>
    <xf numFmtId="2" fontId="3" fillId="0" borderId="0" xfId="6" applyNumberFormat="1" applyFont="1"/>
    <xf numFmtId="4" fontId="1" fillId="0" borderId="0" xfId="0" applyNumberFormat="1" applyFont="1"/>
    <xf numFmtId="10" fontId="0" fillId="0" borderId="2" xfId="6" applyNumberFormat="1" applyFont="1" applyBorder="1" applyAlignment="1">
      <alignment horizontal="right"/>
    </xf>
    <xf numFmtId="10" fontId="0" fillId="0" borderId="0" xfId="6" applyNumberFormat="1" applyFont="1" applyFill="1" applyBorder="1" applyAlignment="1">
      <alignment horizontal="right"/>
    </xf>
    <xf numFmtId="9" fontId="1" fillId="0" borderId="0" xfId="0" applyNumberFormat="1" applyFont="1"/>
    <xf numFmtId="2" fontId="1" fillId="7" borderId="0" xfId="6" applyNumberFormat="1" applyFont="1" applyFill="1"/>
    <xf numFmtId="0" fontId="16" fillId="0" borderId="0" xfId="0" applyFont="1"/>
    <xf numFmtId="0" fontId="0" fillId="8" borderId="0" xfId="0" applyFill="1" applyAlignment="1">
      <alignment horizontal="left"/>
    </xf>
    <xf numFmtId="170" fontId="0" fillId="8" borderId="0" xfId="0" applyNumberFormat="1" applyFill="1" applyAlignment="1">
      <alignment horizontal="right"/>
    </xf>
    <xf numFmtId="0" fontId="1" fillId="8" borderId="0" xfId="0" applyFont="1" applyFill="1" applyAlignment="1">
      <alignment horizontal="right"/>
    </xf>
    <xf numFmtId="170" fontId="1" fillId="8" borderId="0" xfId="0" applyNumberFormat="1" applyFont="1" applyFill="1" applyAlignment="1">
      <alignment horizontal="right"/>
    </xf>
    <xf numFmtId="43" fontId="1" fillId="8" borderId="0" xfId="0" applyNumberFormat="1" applyFont="1" applyFill="1" applyAlignment="1">
      <alignment horizontal="left" vertical="top" wrapText="1"/>
    </xf>
    <xf numFmtId="0" fontId="0" fillId="0" borderId="0" xfId="0" applyAlignment="1">
      <alignment horizontal="center"/>
    </xf>
    <xf numFmtId="0" fontId="1" fillId="9" borderId="0" xfId="0" applyFont="1" applyFill="1"/>
    <xf numFmtId="14" fontId="1" fillId="9" borderId="0" xfId="0" applyNumberFormat="1" applyFont="1" applyFill="1"/>
    <xf numFmtId="10" fontId="14" fillId="0" borderId="0" xfId="6" applyNumberFormat="1" applyFont="1" applyAlignment="1">
      <alignment horizontal="center"/>
    </xf>
    <xf numFmtId="10" fontId="1" fillId="0" borderId="0" xfId="6" applyNumberFormat="1" applyFont="1" applyAlignment="1">
      <alignment horizontal="center"/>
    </xf>
    <xf numFmtId="0" fontId="23" fillId="9" borderId="0" xfId="0" applyFont="1" applyFill="1" applyAlignment="1">
      <alignment horizontal="center"/>
    </xf>
    <xf numFmtId="43" fontId="2" fillId="6" borderId="0" xfId="0" applyNumberFormat="1" applyFont="1" applyFill="1" applyAlignment="1">
      <alignment horizontal="center"/>
    </xf>
    <xf numFmtId="43" fontId="2" fillId="6" borderId="4" xfId="0" applyNumberFormat="1" applyFont="1" applyFill="1" applyBorder="1" applyAlignment="1">
      <alignment horizontal="center"/>
    </xf>
    <xf numFmtId="167" fontId="2" fillId="6" borderId="4" xfId="0" applyNumberFormat="1" applyFont="1" applyFill="1" applyBorder="1" applyAlignment="1">
      <alignment horizontal="center"/>
    </xf>
    <xf numFmtId="168" fontId="2" fillId="6" borderId="4" xfId="0" applyNumberFormat="1" applyFont="1" applyFill="1" applyBorder="1" applyAlignment="1">
      <alignment horizontal="center"/>
    </xf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CFF9D0"/>
      <color rgb="FF0DA322"/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120" zoomScaleNormal="120" zoomScaleSheetLayoutView="100" zoomScalePageLayoutView="120" workbookViewId="0">
      <pane xSplit="1" ySplit="4" topLeftCell="B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defaultColWidth="8.77734375" defaultRowHeight="14.4" x14ac:dyDescent="0.3"/>
  <cols>
    <col min="1" max="1" width="20.6640625" customWidth="1"/>
    <col min="2" max="6" width="13.44140625" customWidth="1"/>
    <col min="7" max="7" width="14.77734375" bestFit="1" customWidth="1"/>
    <col min="8" max="11" width="13.44140625" customWidth="1"/>
    <col min="12" max="12" width="13.33203125" customWidth="1"/>
    <col min="13" max="14" width="12.109375" customWidth="1"/>
  </cols>
  <sheetData>
    <row r="1" spans="1:14" s="2" customFormat="1" x14ac:dyDescent="0.3">
      <c r="A1" s="2" t="str">
        <f>'Data Sheet'!B1</f>
        <v>HDFC BANK LTD</v>
      </c>
      <c r="H1" t="str">
        <f>UPDATE</f>
        <v/>
      </c>
      <c r="J1" s="3"/>
      <c r="K1" s="3"/>
      <c r="M1" s="2" t="s">
        <v>1</v>
      </c>
    </row>
    <row r="3" spans="1:14" s="2" customFormat="1" x14ac:dyDescent="0.3">
      <c r="A3" s="11" t="s">
        <v>2</v>
      </c>
      <c r="B3" s="12">
        <f>'Data Sheet'!B16</f>
        <v>42460</v>
      </c>
      <c r="C3" s="12">
        <f>'Data Sheet'!C16</f>
        <v>42825</v>
      </c>
      <c r="D3" s="12">
        <f>'Data Sheet'!D16</f>
        <v>43190</v>
      </c>
      <c r="E3" s="12">
        <f>'Data Sheet'!E16</f>
        <v>43555</v>
      </c>
      <c r="F3" s="12">
        <f>'Data Sheet'!F16</f>
        <v>43921</v>
      </c>
      <c r="G3" s="12">
        <f>'Data Sheet'!G16</f>
        <v>44286</v>
      </c>
      <c r="H3" s="12">
        <f>'Data Sheet'!H16</f>
        <v>44651</v>
      </c>
      <c r="I3" s="12">
        <f>'Data Sheet'!I16</f>
        <v>45016</v>
      </c>
      <c r="J3" s="12">
        <f>'Data Sheet'!J16</f>
        <v>45382</v>
      </c>
      <c r="K3" s="12">
        <f>'Data Sheet'!K16</f>
        <v>45747</v>
      </c>
      <c r="L3" s="13" t="s">
        <v>3</v>
      </c>
      <c r="M3" s="13" t="s">
        <v>4</v>
      </c>
      <c r="N3" s="13" t="s">
        <v>5</v>
      </c>
    </row>
    <row r="4" spans="1:14" s="2" customFormat="1" x14ac:dyDescent="0.3">
      <c r="A4" s="2" t="s">
        <v>6</v>
      </c>
      <c r="B4" s="1">
        <f>'Data Sheet'!B17</f>
        <v>63161.56</v>
      </c>
      <c r="C4" s="1">
        <f>'Data Sheet'!C17</f>
        <v>73271.350000000006</v>
      </c>
      <c r="D4" s="1">
        <f>'Data Sheet'!D17</f>
        <v>85287.84</v>
      </c>
      <c r="E4" s="1">
        <f>'Data Sheet'!E17</f>
        <v>105160.74</v>
      </c>
      <c r="F4" s="1">
        <f>'Data Sheet'!F17</f>
        <v>122189.29</v>
      </c>
      <c r="G4" s="1">
        <f>'Data Sheet'!G17</f>
        <v>128552.4</v>
      </c>
      <c r="H4" s="1">
        <f>'Data Sheet'!H17</f>
        <v>135936.41</v>
      </c>
      <c r="I4" s="1">
        <f>'Data Sheet'!I17</f>
        <v>170754.05</v>
      </c>
      <c r="J4" s="1">
        <f>'Data Sheet'!J17</f>
        <v>283649.02</v>
      </c>
      <c r="K4" s="1">
        <f>'Data Sheet'!K17</f>
        <v>336367.43</v>
      </c>
      <c r="L4" s="1">
        <f>SUM(Quarters!H4:K4)</f>
        <v>346185.22</v>
      </c>
      <c r="M4" s="1">
        <f>$K4+M23*K4</f>
        <v>454960.10687606269</v>
      </c>
      <c r="N4" s="1">
        <f>$K4+N23*L4</f>
        <v>400708.68654268148</v>
      </c>
    </row>
    <row r="5" spans="1:14" x14ac:dyDescent="0.3">
      <c r="A5" t="s">
        <v>7</v>
      </c>
      <c r="B5" s="6">
        <f>SUM('Data Sheet'!B18,'Data Sheet'!B20:B24, -1*'Data Sheet'!B19)</f>
        <v>20054.62</v>
      </c>
      <c r="C5" s="6">
        <f>SUM('Data Sheet'!C18,'Data Sheet'!C20:C24, -1*'Data Sheet'!C19)</f>
        <v>23855.69</v>
      </c>
      <c r="D5" s="6">
        <f>SUM('Data Sheet'!D18,'Data Sheet'!D20:D24, -1*'Data Sheet'!D19)</f>
        <v>29532.26</v>
      </c>
      <c r="E5" s="6">
        <f>SUM('Data Sheet'!E18,'Data Sheet'!E20:E24, -1*'Data Sheet'!E19)</f>
        <v>34856.270000000004</v>
      </c>
      <c r="F5" s="6">
        <f>SUM('Data Sheet'!F18,'Data Sheet'!F20:F24, -1*'Data Sheet'!F19)</f>
        <v>45459.210000000006</v>
      </c>
      <c r="G5" s="6">
        <f>SUM('Data Sheet'!G18,'Data Sheet'!G20:G24, -1*'Data Sheet'!G19)</f>
        <v>52456.53</v>
      </c>
      <c r="H5" s="6">
        <f>SUM('Data Sheet'!H18,'Data Sheet'!H20:H24, -1*'Data Sheet'!H19)</f>
        <v>56556.959999999992</v>
      </c>
      <c r="I5" s="6">
        <f>SUM('Data Sheet'!I18,'Data Sheet'!I20:I24, -1*'Data Sheet'!I19)</f>
        <v>63042.3</v>
      </c>
      <c r="J5" s="6">
        <f>SUM('Data Sheet'!J18,'Data Sheet'!J20:J24, -1*'Data Sheet'!J19)</f>
        <v>174195.53999999998</v>
      </c>
      <c r="K5" s="6">
        <f>SUM('Data Sheet'!K18,'Data Sheet'!K20:K24, -1*'Data Sheet'!K19)</f>
        <v>186974.45</v>
      </c>
      <c r="L5" s="6">
        <f>SUM(Quarters!H5:K5)</f>
        <v>198673.46000000002</v>
      </c>
      <c r="M5" s="6">
        <f>M4-M6</f>
        <v>244065.33728374957</v>
      </c>
      <c r="N5" s="6">
        <f>N4-N6</f>
        <v>229964.12500652095</v>
      </c>
    </row>
    <row r="6" spans="1:14" s="2" customFormat="1" x14ac:dyDescent="0.3">
      <c r="A6" s="2" t="s">
        <v>8</v>
      </c>
      <c r="B6" s="1">
        <f>B4-B5</f>
        <v>43106.94</v>
      </c>
      <c r="C6" s="1">
        <f t="shared" ref="C6:K6" si="0">C4-C5</f>
        <v>49415.66</v>
      </c>
      <c r="D6" s="1">
        <f t="shared" si="0"/>
        <v>55755.58</v>
      </c>
      <c r="E6" s="1">
        <f t="shared" si="0"/>
        <v>70304.47</v>
      </c>
      <c r="F6" s="1">
        <f t="shared" si="0"/>
        <v>76730.079999999987</v>
      </c>
      <c r="G6" s="1">
        <f t="shared" si="0"/>
        <v>76095.87</v>
      </c>
      <c r="H6" s="1">
        <f t="shared" si="0"/>
        <v>79379.450000000012</v>
      </c>
      <c r="I6" s="1">
        <f t="shared" si="0"/>
        <v>107711.74999999999</v>
      </c>
      <c r="J6" s="1">
        <f t="shared" si="0"/>
        <v>109453.48000000004</v>
      </c>
      <c r="K6" s="1">
        <f t="shared" si="0"/>
        <v>149392.97999999998</v>
      </c>
      <c r="L6" s="1">
        <f>SUM(Quarters!H6:K6)</f>
        <v>147511.76</v>
      </c>
      <c r="M6" s="1">
        <f>M4*M24</f>
        <v>210894.76959231313</v>
      </c>
      <c r="N6" s="1">
        <f>N4*N24</f>
        <v>170744.56153616053</v>
      </c>
    </row>
    <row r="7" spans="1:14" x14ac:dyDescent="0.3">
      <c r="A7" t="s">
        <v>9</v>
      </c>
      <c r="B7" s="6">
        <f>'Data Sheet'!B25</f>
        <v>11211.65</v>
      </c>
      <c r="C7" s="6">
        <f>'Data Sheet'!C25</f>
        <v>12905.08</v>
      </c>
      <c r="D7" s="6">
        <f>'Data Sheet'!D25</f>
        <v>16056.6</v>
      </c>
      <c r="E7" s="6">
        <f>'Data Sheet'!E25</f>
        <v>18947.05</v>
      </c>
      <c r="F7" s="6">
        <f>'Data Sheet'!F25</f>
        <v>24878.97</v>
      </c>
      <c r="G7" s="6">
        <f>'Data Sheet'!G25</f>
        <v>27332.880000000001</v>
      </c>
      <c r="H7" s="6">
        <f>'Data Sheet'!H25</f>
        <v>31758.99</v>
      </c>
      <c r="I7" s="6">
        <f>'Data Sheet'!I25</f>
        <v>33912.050000000003</v>
      </c>
      <c r="J7" s="6">
        <f>'Data Sheet'!J25</f>
        <v>124345.75</v>
      </c>
      <c r="K7" s="6">
        <f>'Data Sheet'!K25</f>
        <v>134548.5</v>
      </c>
      <c r="L7" s="6">
        <f>SUM(Quarters!H7:K7)</f>
        <v>137893.08000000002</v>
      </c>
      <c r="M7" s="6">
        <v>0</v>
      </c>
      <c r="N7" s="6">
        <v>0</v>
      </c>
    </row>
    <row r="8" spans="1:14" x14ac:dyDescent="0.3">
      <c r="A8" t="s">
        <v>10</v>
      </c>
      <c r="B8" s="6">
        <f>'Data Sheet'!B26</f>
        <v>738.03</v>
      </c>
      <c r="C8" s="6">
        <f>'Data Sheet'!C26</f>
        <v>886.19</v>
      </c>
      <c r="D8" s="6">
        <f>'Data Sheet'!D26</f>
        <v>966.78</v>
      </c>
      <c r="E8" s="6">
        <f>'Data Sheet'!E26</f>
        <v>1220.67</v>
      </c>
      <c r="F8" s="6">
        <f>'Data Sheet'!F26</f>
        <v>1276.77</v>
      </c>
      <c r="G8" s="6">
        <f>'Data Sheet'!G26</f>
        <v>1385.01</v>
      </c>
      <c r="H8" s="6">
        <f>'Data Sheet'!H26</f>
        <v>1680.73</v>
      </c>
      <c r="I8" s="6">
        <f>'Data Sheet'!I26</f>
        <v>2345.4699999999998</v>
      </c>
      <c r="J8" s="6">
        <f>'Data Sheet'!J26</f>
        <v>3092.08</v>
      </c>
      <c r="K8" s="6">
        <f>'Data Sheet'!K26</f>
        <v>3805.23</v>
      </c>
      <c r="L8" s="6">
        <f>SUM(Quarters!H8:K8)</f>
        <v>0</v>
      </c>
      <c r="M8" s="6">
        <f>+$L8</f>
        <v>0</v>
      </c>
      <c r="N8" s="6">
        <f>+$L8</f>
        <v>0</v>
      </c>
    </row>
    <row r="9" spans="1:14" x14ac:dyDescent="0.3">
      <c r="A9" t="s">
        <v>11</v>
      </c>
      <c r="B9" s="6">
        <f>'Data Sheet'!B27</f>
        <v>34069.57</v>
      </c>
      <c r="C9" s="6">
        <f>'Data Sheet'!C27</f>
        <v>38041.58</v>
      </c>
      <c r="D9" s="6">
        <f>'Data Sheet'!D27</f>
        <v>42381.48</v>
      </c>
      <c r="E9" s="6">
        <f>'Data Sheet'!E27</f>
        <v>53712.69</v>
      </c>
      <c r="F9" s="6">
        <f>'Data Sheet'!F27</f>
        <v>62137.42</v>
      </c>
      <c r="G9" s="6">
        <f>'Data Sheet'!G27</f>
        <v>59247.59</v>
      </c>
      <c r="H9" s="6">
        <f>'Data Sheet'!H27</f>
        <v>58584.33</v>
      </c>
      <c r="I9" s="6">
        <f>'Data Sheet'!I27</f>
        <v>77779.94</v>
      </c>
      <c r="J9" s="6">
        <f>'Data Sheet'!J27</f>
        <v>154138.54999999999</v>
      </c>
      <c r="K9" s="6">
        <f>'Data Sheet'!K27</f>
        <v>183894.2</v>
      </c>
      <c r="L9" s="6">
        <f>SUM(Quarters!H9:K9)</f>
        <v>188349.86</v>
      </c>
      <c r="M9" s="6">
        <f>+$L9</f>
        <v>188349.86</v>
      </c>
      <c r="N9" s="6">
        <f>+$L9</f>
        <v>188349.86</v>
      </c>
    </row>
    <row r="10" spans="1:14" x14ac:dyDescent="0.3">
      <c r="A10" t="s">
        <v>12</v>
      </c>
      <c r="B10" s="6">
        <f>'Data Sheet'!B28</f>
        <v>19510.990000000002</v>
      </c>
      <c r="C10" s="6">
        <f>'Data Sheet'!C28</f>
        <v>23392.97</v>
      </c>
      <c r="D10" s="6">
        <f>'Data Sheet'!D28</f>
        <v>28463.919999999998</v>
      </c>
      <c r="E10" s="6">
        <f>'Data Sheet'!E28</f>
        <v>34318.160000000003</v>
      </c>
      <c r="F10" s="6">
        <f>'Data Sheet'!F28</f>
        <v>38194.86</v>
      </c>
      <c r="G10" s="6">
        <f>'Data Sheet'!G28</f>
        <v>42796.15</v>
      </c>
      <c r="H10" s="6">
        <f>'Data Sheet'!H28</f>
        <v>50873.38</v>
      </c>
      <c r="I10" s="6">
        <f>'Data Sheet'!I28</f>
        <v>61498.39</v>
      </c>
      <c r="J10" s="6">
        <f>'Data Sheet'!J28</f>
        <v>76568.600000000006</v>
      </c>
      <c r="K10" s="6">
        <f>'Data Sheet'!K28</f>
        <v>96242.05</v>
      </c>
      <c r="L10" s="6">
        <f>SUM(Quarters!H10:K10)</f>
        <v>97054.98</v>
      </c>
      <c r="M10" s="6">
        <f>M6+M7-SUM(M8:M9)</f>
        <v>22544.909592313139</v>
      </c>
      <c r="N10" s="6">
        <f>N6+N7-SUM(N8:N9)</f>
        <v>-17605.298463839456</v>
      </c>
    </row>
    <row r="11" spans="1:14" x14ac:dyDescent="0.3">
      <c r="A11" t="s">
        <v>13</v>
      </c>
      <c r="B11" s="6">
        <f>'Data Sheet'!B29</f>
        <v>6693.66</v>
      </c>
      <c r="C11" s="6">
        <f>'Data Sheet'!C29</f>
        <v>8078.12</v>
      </c>
      <c r="D11" s="6">
        <f>'Data Sheet'!D29</f>
        <v>9903.08</v>
      </c>
      <c r="E11" s="6">
        <f>'Data Sheet'!E29</f>
        <v>11872.55</v>
      </c>
      <c r="F11" s="6">
        <f>'Data Sheet'!F29</f>
        <v>10898.59</v>
      </c>
      <c r="G11" s="6">
        <f>'Data Sheet'!G29</f>
        <v>10939.38</v>
      </c>
      <c r="H11" s="6">
        <f>'Data Sheet'!H29</f>
        <v>12722.48</v>
      </c>
      <c r="I11" s="6">
        <f>'Data Sheet'!I29</f>
        <v>15349.69</v>
      </c>
      <c r="J11" s="6">
        <f>'Data Sheet'!J29</f>
        <v>11122.1</v>
      </c>
      <c r="K11" s="6">
        <f>'Data Sheet'!K29</f>
        <v>22801.88</v>
      </c>
      <c r="L11" s="6">
        <f>SUM(Quarters!H11:K11)</f>
        <v>21976.1</v>
      </c>
      <c r="M11" s="7">
        <f>IF($L10&gt;0,$L11/$L10,0)</f>
        <v>0.22642939084630176</v>
      </c>
      <c r="N11" s="7">
        <f>IF($L10&gt;0,$L11/$L10,0)</f>
        <v>0.22642939084630176</v>
      </c>
    </row>
    <row r="12" spans="1:14" s="2" customFormat="1" x14ac:dyDescent="0.3">
      <c r="A12" s="2" t="s">
        <v>14</v>
      </c>
      <c r="B12" s="1">
        <f>'Data Sheet'!B30</f>
        <v>12801.33</v>
      </c>
      <c r="C12" s="1">
        <f>'Data Sheet'!C30</f>
        <v>15280.48</v>
      </c>
      <c r="D12" s="1">
        <f>'Data Sheet'!D30</f>
        <v>18510.02</v>
      </c>
      <c r="E12" s="1">
        <f>'Data Sheet'!E30</f>
        <v>22332.43</v>
      </c>
      <c r="F12" s="1">
        <f>'Data Sheet'!F30</f>
        <v>27253.95</v>
      </c>
      <c r="G12" s="1">
        <f>'Data Sheet'!G30</f>
        <v>31833.21</v>
      </c>
      <c r="H12" s="1">
        <f>'Data Sheet'!H30</f>
        <v>38052.75</v>
      </c>
      <c r="I12" s="1">
        <f>'Data Sheet'!I30</f>
        <v>45997.11</v>
      </c>
      <c r="J12" s="1">
        <f>'Data Sheet'!J30</f>
        <v>64062.04</v>
      </c>
      <c r="K12" s="1">
        <f>'Data Sheet'!K30</f>
        <v>70792.25</v>
      </c>
      <c r="L12" s="1">
        <f>SUM(Quarters!H12:K12)</f>
        <v>72360.070000000007</v>
      </c>
      <c r="M12" s="1">
        <f>M10-M11*M10</f>
        <v>17440.079446640731</v>
      </c>
      <c r="N12" s="1">
        <f>N10-N11*N10</f>
        <v>-13618.941457004956</v>
      </c>
    </row>
    <row r="13" spans="1:14" x14ac:dyDescent="0.3">
      <c r="A13" t="s">
        <v>57</v>
      </c>
      <c r="B13" s="6">
        <f>IF('Data Sheet'!B93&gt;0,B12/'Data Sheet'!B93,0)</f>
        <v>12.658541650185903</v>
      </c>
      <c r="C13" s="6">
        <f>IF('Data Sheet'!C93&gt;0,C12/'Data Sheet'!C93,0)</f>
        <v>14.90749448791243</v>
      </c>
      <c r="D13" s="6">
        <f>IF('Data Sheet'!D93&gt;0,D12/'Data Sheet'!D93,0)</f>
        <v>17.831702053870757</v>
      </c>
      <c r="E13" s="6">
        <f>IF('Data Sheet'!E93&gt;0,E12/'Data Sheet'!E93,0)</f>
        <v>20.501257665332503</v>
      </c>
      <c r="F13" s="6">
        <f>IF('Data Sheet'!F93&gt;0,F12/'Data Sheet'!F93,0)</f>
        <v>24.85177721445115</v>
      </c>
      <c r="G13" s="6">
        <f>IF('Data Sheet'!G93&gt;0,G12/'Data Sheet'!G93,0)</f>
        <v>28.872088593818024</v>
      </c>
      <c r="H13" s="6">
        <f>IF('Data Sheet'!H93&gt;0,H12/'Data Sheet'!H93,0)</f>
        <v>34.309265988044473</v>
      </c>
      <c r="I13" s="6">
        <f>IF('Data Sheet'!I93&gt;0,I12/'Data Sheet'!I93,0)</f>
        <v>41.217895066983289</v>
      </c>
      <c r="J13" s="6">
        <f>IF('Data Sheet'!J93&gt;0,J12/'Data Sheet'!J93,0)</f>
        <v>42.163277126196206</v>
      </c>
      <c r="K13" s="6">
        <f>IF('Data Sheet'!K93&gt;0,K12/'Data Sheet'!K93,0)</f>
        <v>46.256142024515825</v>
      </c>
      <c r="L13" s="6">
        <f>IF('Data Sheet'!$B6&gt;0,'Profit &amp; Loss'!L12/'Data Sheet'!$B6,0)</f>
        <v>47.028675173760924</v>
      </c>
      <c r="M13" s="6">
        <f>IF('Data Sheet'!$B6&gt;0,'Profit &amp; Loss'!M12/'Data Sheet'!$B6,0)</f>
        <v>11.334757295019905</v>
      </c>
      <c r="N13" s="6">
        <f>IF('Data Sheet'!$B6&gt;0,'Profit &amp; Loss'!N12/'Data Sheet'!$B6,0)</f>
        <v>-8.8513011940418558</v>
      </c>
    </row>
    <row r="14" spans="1:14" x14ac:dyDescent="0.3">
      <c r="A14" t="s">
        <v>16</v>
      </c>
      <c r="B14" s="6">
        <f>IF(B15&gt;0,B15/B13,"")</f>
        <v>21.154885562672007</v>
      </c>
      <c r="C14" s="6">
        <f t="shared" ref="C14:K14" si="1">IF(C15&gt;0,C15/C13,"")</f>
        <v>24.191858685067483</v>
      </c>
      <c r="D14" s="6">
        <f t="shared" si="1"/>
        <v>26.443353448564615</v>
      </c>
      <c r="E14" s="6">
        <f t="shared" si="1"/>
        <v>28.277777366815879</v>
      </c>
      <c r="F14" s="6">
        <f t="shared" si="1"/>
        <v>17.340812139157812</v>
      </c>
      <c r="G14" s="6">
        <f t="shared" si="1"/>
        <v>25.866850524970623</v>
      </c>
      <c r="H14" s="6">
        <f t="shared" si="1"/>
        <v>21.428030557581248</v>
      </c>
      <c r="I14" s="6">
        <f t="shared" si="1"/>
        <v>19.525014528086654</v>
      </c>
      <c r="J14" s="6">
        <f t="shared" si="1"/>
        <v>17.170154915453836</v>
      </c>
      <c r="K14" s="6">
        <f t="shared" si="1"/>
        <v>19.761699960094504</v>
      </c>
      <c r="L14" s="6">
        <f>IF(L13&gt;0,L15/L13,0)</f>
        <v>21.121156322817267</v>
      </c>
      <c r="M14" s="6">
        <f>M25</f>
        <v>21.121156322817267</v>
      </c>
      <c r="N14" s="6">
        <f>N25</f>
        <v>19.394506431613067</v>
      </c>
    </row>
    <row r="15" spans="1:14" s="2" customFormat="1" x14ac:dyDescent="0.3">
      <c r="A15" s="2" t="s">
        <v>58</v>
      </c>
      <c r="B15" s="1">
        <f>'Data Sheet'!B90</f>
        <v>267.79000000000002</v>
      </c>
      <c r="C15" s="1">
        <f>'Data Sheet'!C90</f>
        <v>360.64</v>
      </c>
      <c r="D15" s="1">
        <f>'Data Sheet'!D90</f>
        <v>471.53</v>
      </c>
      <c r="E15" s="1">
        <f>'Data Sheet'!E90</f>
        <v>579.73</v>
      </c>
      <c r="F15" s="1">
        <f>'Data Sheet'!F90</f>
        <v>430.95</v>
      </c>
      <c r="G15" s="1">
        <f>'Data Sheet'!G90</f>
        <v>746.83</v>
      </c>
      <c r="H15" s="1">
        <f>'Data Sheet'!H90</f>
        <v>735.18</v>
      </c>
      <c r="I15" s="1">
        <f>'Data Sheet'!I90</f>
        <v>804.78</v>
      </c>
      <c r="J15" s="1">
        <f>'Data Sheet'!J90</f>
        <v>723.95</v>
      </c>
      <c r="K15" s="1">
        <f>'Data Sheet'!K90</f>
        <v>914.1</v>
      </c>
      <c r="L15" s="1">
        <f>'Data Sheet'!B8</f>
        <v>993.3</v>
      </c>
      <c r="M15" s="8">
        <f>M13*M14</f>
        <v>239.40318070930883</v>
      </c>
      <c r="N15" s="9">
        <f>N13*N14</f>
        <v>-171.66661793598919</v>
      </c>
    </row>
    <row r="17" spans="1:14" s="2" customFormat="1" x14ac:dyDescent="0.3">
      <c r="A17" s="2" t="s">
        <v>15</v>
      </c>
    </row>
    <row r="18" spans="1:14" x14ac:dyDescent="0.3">
      <c r="A18" t="s">
        <v>17</v>
      </c>
      <c r="B18" s="5">
        <f>IF('Data Sheet'!B30&gt;0, 'Data Sheet'!B31/'Data Sheet'!B30, 0)</f>
        <v>0.18762034882313008</v>
      </c>
      <c r="C18" s="5">
        <f>IF('Data Sheet'!C30&gt;0, 'Data Sheet'!C31/'Data Sheet'!C30, 0)</f>
        <v>0.18447064490120732</v>
      </c>
      <c r="D18" s="5">
        <f>IF('Data Sheet'!D30&gt;0, 'Data Sheet'!D31/'Data Sheet'!D30, 0)</f>
        <v>0.18225966260436238</v>
      </c>
      <c r="E18" s="5">
        <f>IF('Data Sheet'!E30&gt;0, 'Data Sheet'!E31/'Data Sheet'!E30, 0)</f>
        <v>0.18291560748203398</v>
      </c>
      <c r="F18" s="5">
        <f>IF('Data Sheet'!F30&gt;0, 'Data Sheet'!F31/'Data Sheet'!F30, 0)</f>
        <v>5.0298030193788416E-2</v>
      </c>
      <c r="G18" s="5">
        <f>IF('Data Sheet'!G30&gt;0, 'Data Sheet'!G31/'Data Sheet'!G30, 0)</f>
        <v>0.11256546229550837</v>
      </c>
      <c r="H18" s="5">
        <f>IF('Data Sheet'!H30&gt;0, 'Data Sheet'!H31/'Data Sheet'!H30, 0)</f>
        <v>0.22588433161860838</v>
      </c>
      <c r="I18" s="5">
        <f>IF('Data Sheet'!I30&gt;0, 'Data Sheet'!I31/'Data Sheet'!I30, 0)</f>
        <v>0.23048034974371218</v>
      </c>
      <c r="J18" s="5">
        <f>IF('Data Sheet'!J30&gt;0, 'Data Sheet'!J31/'Data Sheet'!J30, 0)</f>
        <v>0.23124396288347981</v>
      </c>
      <c r="K18" s="5">
        <f>IF('Data Sheet'!K30&gt;0, 'Data Sheet'!K31/'Data Sheet'!K30, 0)</f>
        <v>0.2378062570408484</v>
      </c>
    </row>
    <row r="19" spans="1:14" x14ac:dyDescent="0.3">
      <c r="A19" t="s">
        <v>18</v>
      </c>
      <c r="B19" s="5">
        <f>IF(B6&gt;0,B6/B4,0)</f>
        <v>0.68248694300774082</v>
      </c>
      <c r="C19" s="5">
        <f t="shared" ref="C19:K19" si="2">IF(C6&gt;0,C6/C4,0)</f>
        <v>0.67441994722357379</v>
      </c>
      <c r="D19" s="5">
        <f t="shared" si="2"/>
        <v>0.6537342251838012</v>
      </c>
      <c r="E19" s="5">
        <f t="shared" si="2"/>
        <v>0.6685429372216285</v>
      </c>
      <c r="F19" s="5">
        <f t="shared" si="2"/>
        <v>0.62796076481007457</v>
      </c>
      <c r="G19" s="5">
        <f t="shared" si="2"/>
        <v>0.59194437443408288</v>
      </c>
      <c r="H19" s="5">
        <f t="shared" si="2"/>
        <v>0.58394546391213364</v>
      </c>
      <c r="I19" s="5">
        <f t="shared" si="2"/>
        <v>0.63080055787842215</v>
      </c>
      <c r="J19" s="5">
        <f t="shared" si="2"/>
        <v>0.3858764609868916</v>
      </c>
      <c r="K19" s="5">
        <f t="shared" si="2"/>
        <v>0.44413628275484335</v>
      </c>
      <c r="L19" s="5">
        <f>IF(L6&gt;0,L6/L4,0)</f>
        <v>0.42610646404834968</v>
      </c>
    </row>
    <row r="20" spans="1:14" x14ac:dyDescent="0.3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3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3">
      <c r="A22" s="11"/>
      <c r="B22" s="12"/>
      <c r="C22" s="12"/>
      <c r="D22" s="12"/>
      <c r="E22" s="12"/>
      <c r="F22" s="12"/>
      <c r="G22" s="12" t="s">
        <v>19</v>
      </c>
      <c r="H22" s="12" t="s">
        <v>65</v>
      </c>
      <c r="I22" s="12" t="s">
        <v>66</v>
      </c>
      <c r="J22" s="12" t="s">
        <v>67</v>
      </c>
      <c r="K22" s="12" t="s">
        <v>68</v>
      </c>
      <c r="L22" s="13" t="s">
        <v>69</v>
      </c>
      <c r="M22" s="13" t="s">
        <v>20</v>
      </c>
      <c r="N22" s="13" t="s">
        <v>21</v>
      </c>
    </row>
    <row r="23" spans="1:14" s="2" customFormat="1" x14ac:dyDescent="0.3">
      <c r="A23"/>
      <c r="B23"/>
      <c r="C23"/>
      <c r="D23"/>
      <c r="E23"/>
      <c r="F23"/>
      <c r="G23" t="s">
        <v>22</v>
      </c>
      <c r="H23" s="5">
        <f>IF(B4=0,"",POWER($K4/B4,1/9)-1)</f>
        <v>0.20422263936758567</v>
      </c>
      <c r="I23" s="5">
        <f>IF(D4=0,"",POWER($K4/D4,1/7)-1)</f>
        <v>0.2165568349579059</v>
      </c>
      <c r="J23" s="5">
        <f>IF(F4=0,"",POWER($K4/F4,1/5)-1)</f>
        <v>0.2244925838160563</v>
      </c>
      <c r="K23" s="5">
        <f>IF(H4=0,"",POWER($K4/H4, 1/3)-1)</f>
        <v>0.35256884674019329</v>
      </c>
      <c r="L23" s="5">
        <f>IF(ISERROR(MAX(IF(J4=0,"",(K4-J4)/J4),IF(K4=0,"",(L4-K4)/K4))),"",MAX(IF(J4=0,"",(K4-J4)/J4),IF(K4=0,"",(L4-K4)/K4)))</f>
        <v>0.18585789578966277</v>
      </c>
      <c r="M23" s="16">
        <f>MAX(K23:L23)</f>
        <v>0.35256884674019329</v>
      </c>
      <c r="N23" s="16">
        <f>MIN(H23:L23)</f>
        <v>0.18585789578966277</v>
      </c>
    </row>
    <row r="24" spans="1:14" x14ac:dyDescent="0.3">
      <c r="G24" t="s">
        <v>18</v>
      </c>
      <c r="H24" s="5">
        <f>IF(SUM(B4:$K$4)=0,"",SUMPRODUCT(B19:$K$19,B4:$K$4)/SUM(B4:$K$4))</f>
        <v>0.54332906416835691</v>
      </c>
      <c r="I24" s="5">
        <f>IF(SUM(E4:$K$4)=0,"",SUMPRODUCT(E19:$K$19,E4:$K$4)/SUM(E4:$K$4))</f>
        <v>0.52164603760019412</v>
      </c>
      <c r="J24" s="5">
        <f>IF(SUM(G4:$K$4)=0,"",SUMPRODUCT(G19:$K$19,G4:$K$4)/SUM(G4:$K$4))</f>
        <v>0.4946969195656753</v>
      </c>
      <c r="K24" s="5">
        <f>IF(SUM(I4:$K$4)=0, "", SUMPRODUCT(I19:$K$19,I4:$K$4)/SUM(I4:$K$4))</f>
        <v>0.46354563049582659</v>
      </c>
      <c r="L24" s="5">
        <f>L19</f>
        <v>0.42610646404834968</v>
      </c>
      <c r="M24" s="16">
        <f>MAX(K24:L24)</f>
        <v>0.46354563049582659</v>
      </c>
      <c r="N24" s="16">
        <f>MIN(H24:L24)</f>
        <v>0.42610646404834968</v>
      </c>
    </row>
    <row r="25" spans="1:14" x14ac:dyDescent="0.3">
      <c r="G25" t="s">
        <v>23</v>
      </c>
      <c r="H25" s="6">
        <f>IF(ISERROR(AVERAGEIF(B14:$L14,"&gt;0")),"",AVERAGEIF(B14:$L14,"&gt;0"))</f>
        <v>22.025599455571086</v>
      </c>
      <c r="I25" s="6">
        <f>IF(ISERROR(AVERAGEIF(E14:$L14,"&gt;0")),"",AVERAGEIF(E14:$L14,"&gt;0"))</f>
        <v>21.311437039372226</v>
      </c>
      <c r="J25" s="6">
        <f>IF(ISERROR(AVERAGEIF(G14:$L14,"&gt;0")),"",AVERAGEIF(G14:$L14,"&gt;0"))</f>
        <v>20.812151134834021</v>
      </c>
      <c r="K25" s="6">
        <f>IF(ISERROR(AVERAGEIF(I14:$L14,"&gt;0")),"",AVERAGEIF(I14:$L14,"&gt;0"))</f>
        <v>19.394506431613067</v>
      </c>
      <c r="L25" s="6">
        <f>L14</f>
        <v>21.121156322817267</v>
      </c>
      <c r="M25" s="1">
        <f>MAX(K25:L25)</f>
        <v>21.121156322817267</v>
      </c>
      <c r="N25" s="1">
        <f>MIN(H25:L25)</f>
        <v>19.394506431613067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0.6640625" customWidth="1"/>
    <col min="2" max="11" width="13.44140625" bestFit="1" customWidth="1"/>
  </cols>
  <sheetData>
    <row r="1" spans="1:11" s="2" customFormat="1" x14ac:dyDescent="0.3">
      <c r="A1" s="2" t="str">
        <f>'Profit &amp; Loss'!A1</f>
        <v>HDFC BANK LTD</v>
      </c>
      <c r="E1" t="str">
        <f>UPDATE</f>
        <v/>
      </c>
      <c r="J1" s="2" t="s">
        <v>1</v>
      </c>
    </row>
    <row r="3" spans="1:11" s="2" customFormat="1" x14ac:dyDescent="0.3">
      <c r="A3" s="11" t="s">
        <v>2</v>
      </c>
      <c r="B3" s="12">
        <f>'Data Sheet'!B41</f>
        <v>45107</v>
      </c>
      <c r="C3" s="12">
        <f>'Data Sheet'!C41</f>
        <v>45199</v>
      </c>
      <c r="D3" s="12">
        <f>'Data Sheet'!D41</f>
        <v>45291</v>
      </c>
      <c r="E3" s="12">
        <f>'Data Sheet'!E41</f>
        <v>45382</v>
      </c>
      <c r="F3" s="12">
        <f>'Data Sheet'!F41</f>
        <v>45473</v>
      </c>
      <c r="G3" s="12">
        <f>'Data Sheet'!G41</f>
        <v>45565</v>
      </c>
      <c r="H3" s="12">
        <f>'Data Sheet'!H41</f>
        <v>45657</v>
      </c>
      <c r="I3" s="12">
        <f>'Data Sheet'!I41</f>
        <v>45747</v>
      </c>
      <c r="J3" s="12">
        <f>'Data Sheet'!J41</f>
        <v>45838</v>
      </c>
      <c r="K3" s="12">
        <f>'Data Sheet'!K41</f>
        <v>45930</v>
      </c>
    </row>
    <row r="4" spans="1:11" s="2" customFormat="1" x14ac:dyDescent="0.3">
      <c r="A4" s="2" t="s">
        <v>6</v>
      </c>
      <c r="B4" s="1">
        <f>'Data Sheet'!B42</f>
        <v>51168.14</v>
      </c>
      <c r="C4" s="1">
        <f>'Data Sheet'!C42</f>
        <v>75039.100000000006</v>
      </c>
      <c r="D4" s="1">
        <f>'Data Sheet'!D42</f>
        <v>78008.17</v>
      </c>
      <c r="E4" s="1">
        <f>'Data Sheet'!E42</f>
        <v>79433.61</v>
      </c>
      <c r="F4" s="1">
        <f>'Data Sheet'!F42</f>
        <v>81546.2</v>
      </c>
      <c r="G4" s="1">
        <f>'Data Sheet'!G42</f>
        <v>83001.72</v>
      </c>
      <c r="H4" s="1">
        <f>'Data Sheet'!H42</f>
        <v>85040.17</v>
      </c>
      <c r="I4" s="1">
        <f>'Data Sheet'!I42</f>
        <v>86779.34</v>
      </c>
      <c r="J4" s="1">
        <f>'Data Sheet'!J42</f>
        <v>87371.87</v>
      </c>
      <c r="K4" s="1">
        <f>'Data Sheet'!K42</f>
        <v>86993.84</v>
      </c>
    </row>
    <row r="5" spans="1:11" x14ac:dyDescent="0.3">
      <c r="A5" t="s">
        <v>7</v>
      </c>
      <c r="B5" s="6">
        <f>'Data Sheet'!B43</f>
        <v>18469.810000000001</v>
      </c>
      <c r="C5" s="6">
        <f>'Data Sheet'!C43</f>
        <v>45349.33</v>
      </c>
      <c r="D5" s="6">
        <f>'Data Sheet'!D43</f>
        <v>50530.03</v>
      </c>
      <c r="E5" s="6">
        <f>'Data Sheet'!E43</f>
        <v>62938.45</v>
      </c>
      <c r="F5" s="6">
        <f>'Data Sheet'!F43</f>
        <v>49689.62</v>
      </c>
      <c r="G5" s="6">
        <f>'Data Sheet'!G43</f>
        <v>52074.11</v>
      </c>
      <c r="H5" s="6">
        <f>'Data Sheet'!H43</f>
        <v>41306.79</v>
      </c>
      <c r="I5" s="6">
        <f>'Data Sheet'!I43</f>
        <v>47709.16</v>
      </c>
      <c r="J5" s="6">
        <f>'Data Sheet'!J43</f>
        <v>64496.63</v>
      </c>
      <c r="K5" s="6">
        <f>'Data Sheet'!K43</f>
        <v>45160.88</v>
      </c>
    </row>
    <row r="6" spans="1:11" s="2" customFormat="1" x14ac:dyDescent="0.3">
      <c r="A6" s="2" t="s">
        <v>8</v>
      </c>
      <c r="B6" s="1">
        <f>'Data Sheet'!B50</f>
        <v>32698.33</v>
      </c>
      <c r="C6" s="1">
        <f>'Data Sheet'!C50</f>
        <v>29689.77</v>
      </c>
      <c r="D6" s="1">
        <f>'Data Sheet'!D50</f>
        <v>27478.14</v>
      </c>
      <c r="E6" s="1">
        <f>'Data Sheet'!E50</f>
        <v>16495.16</v>
      </c>
      <c r="F6" s="1">
        <f>'Data Sheet'!F50</f>
        <v>31856.58</v>
      </c>
      <c r="G6" s="1">
        <f>'Data Sheet'!G50</f>
        <v>30927.61</v>
      </c>
      <c r="H6" s="1">
        <f>'Data Sheet'!H50</f>
        <v>43733.38</v>
      </c>
      <c r="I6" s="1">
        <f>'Data Sheet'!I50</f>
        <v>39070.18</v>
      </c>
      <c r="J6" s="1">
        <f>'Data Sheet'!J50</f>
        <v>22875.24</v>
      </c>
      <c r="K6" s="1">
        <f>'Data Sheet'!K50</f>
        <v>41832.959999999999</v>
      </c>
    </row>
    <row r="7" spans="1:11" x14ac:dyDescent="0.3">
      <c r="A7" t="s">
        <v>9</v>
      </c>
      <c r="B7" s="6">
        <f>'Data Sheet'!B44</f>
        <v>9853.15</v>
      </c>
      <c r="C7" s="6">
        <f>'Data Sheet'!C44</f>
        <v>32527.52</v>
      </c>
      <c r="D7" s="6">
        <f>'Data Sheet'!D44</f>
        <v>37007.339999999997</v>
      </c>
      <c r="E7" s="6">
        <f>'Data Sheet'!E44</f>
        <v>44957.74</v>
      </c>
      <c r="F7" s="6">
        <f>'Data Sheet'!F44</f>
        <v>35450.29</v>
      </c>
      <c r="G7" s="6">
        <f>'Data Sheet'!G44</f>
        <v>38455.019999999997</v>
      </c>
      <c r="H7" s="6">
        <f>'Data Sheet'!H44</f>
        <v>27153.77</v>
      </c>
      <c r="I7" s="6">
        <f>'Data Sheet'!I44</f>
        <v>33489.42</v>
      </c>
      <c r="J7" s="6">
        <f>'Data Sheet'!J44</f>
        <v>45683.1</v>
      </c>
      <c r="K7" s="6">
        <f>'Data Sheet'!K44</f>
        <v>31566.79</v>
      </c>
    </row>
    <row r="8" spans="1:11" x14ac:dyDescent="0.3">
      <c r="A8" t="s">
        <v>10</v>
      </c>
      <c r="B8" s="6">
        <f>'Data Sheet'!B45</f>
        <v>0</v>
      </c>
      <c r="C8" s="6">
        <f>'Data Sheet'!C45</f>
        <v>0</v>
      </c>
      <c r="D8" s="6">
        <f>'Data Sheet'!D45</f>
        <v>0</v>
      </c>
      <c r="E8" s="6">
        <f>'Data Sheet'!E45</f>
        <v>0</v>
      </c>
      <c r="F8" s="6">
        <f>'Data Sheet'!F45</f>
        <v>0</v>
      </c>
      <c r="G8" s="6">
        <f>'Data Sheet'!G45</f>
        <v>0</v>
      </c>
      <c r="H8" s="6">
        <f>'Data Sheet'!H45</f>
        <v>0</v>
      </c>
      <c r="I8" s="6">
        <f>'Data Sheet'!I45</f>
        <v>0</v>
      </c>
      <c r="J8" s="6">
        <f>'Data Sheet'!J45</f>
        <v>0</v>
      </c>
      <c r="K8" s="6">
        <f>'Data Sheet'!K45</f>
        <v>0</v>
      </c>
    </row>
    <row r="9" spans="1:11" x14ac:dyDescent="0.3">
      <c r="A9" t="s">
        <v>11</v>
      </c>
      <c r="B9" s="6">
        <f>'Data Sheet'!B46</f>
        <v>25954.76</v>
      </c>
      <c r="C9" s="6">
        <f>'Data Sheet'!C46</f>
        <v>41249.910000000003</v>
      </c>
      <c r="D9" s="6">
        <f>'Data Sheet'!D46</f>
        <v>43242.37</v>
      </c>
      <c r="E9" s="6">
        <f>'Data Sheet'!E46</f>
        <v>43691.51</v>
      </c>
      <c r="F9" s="6">
        <f>'Data Sheet'!F46</f>
        <v>44579.5</v>
      </c>
      <c r="G9" s="6">
        <f>'Data Sheet'!G46</f>
        <v>45414.21</v>
      </c>
      <c r="H9" s="6">
        <f>'Data Sheet'!H46</f>
        <v>46914.28</v>
      </c>
      <c r="I9" s="6">
        <f>'Data Sheet'!I46</f>
        <v>46986.21</v>
      </c>
      <c r="J9" s="6">
        <f>'Data Sheet'!J46</f>
        <v>47708.51</v>
      </c>
      <c r="K9" s="6">
        <f>'Data Sheet'!K46</f>
        <v>46740.86</v>
      </c>
    </row>
    <row r="10" spans="1:11" x14ac:dyDescent="0.3">
      <c r="A10" t="s">
        <v>12</v>
      </c>
      <c r="B10" s="6">
        <f>'Data Sheet'!B47</f>
        <v>16596.72</v>
      </c>
      <c r="C10" s="6">
        <f>'Data Sheet'!C47</f>
        <v>20967.38</v>
      </c>
      <c r="D10" s="6">
        <f>'Data Sheet'!D47</f>
        <v>21243.11</v>
      </c>
      <c r="E10" s="6">
        <f>'Data Sheet'!E47</f>
        <v>17761.39</v>
      </c>
      <c r="F10" s="6">
        <f>'Data Sheet'!F47</f>
        <v>22727.37</v>
      </c>
      <c r="G10" s="6">
        <f>'Data Sheet'!G47</f>
        <v>23968.42</v>
      </c>
      <c r="H10" s="6">
        <f>'Data Sheet'!H47</f>
        <v>23972.87</v>
      </c>
      <c r="I10" s="6">
        <f>'Data Sheet'!I47</f>
        <v>25573.39</v>
      </c>
      <c r="J10" s="6">
        <f>'Data Sheet'!J47</f>
        <v>20849.830000000002</v>
      </c>
      <c r="K10" s="6">
        <f>'Data Sheet'!K47</f>
        <v>26658.89</v>
      </c>
    </row>
    <row r="11" spans="1:11" x14ac:dyDescent="0.3">
      <c r="A11" t="s">
        <v>13</v>
      </c>
      <c r="B11" s="6">
        <f>'Data Sheet'!B48</f>
        <v>4193.47</v>
      </c>
      <c r="C11" s="6">
        <f>'Data Sheet'!C48</f>
        <v>3655</v>
      </c>
      <c r="D11" s="6">
        <f>'Data Sheet'!D48</f>
        <v>3525.11</v>
      </c>
      <c r="E11" s="6">
        <f>'Data Sheet'!E48</f>
        <v>-251.48</v>
      </c>
      <c r="F11" s="6">
        <f>'Data Sheet'!F48</f>
        <v>5539.32</v>
      </c>
      <c r="G11" s="6">
        <f>'Data Sheet'!G48</f>
        <v>5340.98</v>
      </c>
      <c r="H11" s="6">
        <f>'Data Sheet'!H48</f>
        <v>5632.76</v>
      </c>
      <c r="I11" s="6">
        <f>'Data Sheet'!I48</f>
        <v>6288.82</v>
      </c>
      <c r="J11" s="6">
        <f>'Data Sheet'!J48</f>
        <v>3759.4</v>
      </c>
      <c r="K11" s="6">
        <f>'Data Sheet'!K48</f>
        <v>6295.12</v>
      </c>
    </row>
    <row r="12" spans="1:11" s="2" customFormat="1" x14ac:dyDescent="0.3">
      <c r="A12" s="2" t="s">
        <v>14</v>
      </c>
      <c r="B12" s="1">
        <f>'Data Sheet'!B49</f>
        <v>12370.38</v>
      </c>
      <c r="C12" s="1">
        <f>'Data Sheet'!C49</f>
        <v>16811.41</v>
      </c>
      <c r="D12" s="1">
        <f>'Data Sheet'!D49</f>
        <v>17257.87</v>
      </c>
      <c r="E12" s="1">
        <f>'Data Sheet'!E49</f>
        <v>17622.38</v>
      </c>
      <c r="F12" s="1">
        <f>'Data Sheet'!F49</f>
        <v>16474.849999999999</v>
      </c>
      <c r="G12" s="1">
        <f>'Data Sheet'!G49</f>
        <v>17825.91</v>
      </c>
      <c r="H12" s="1">
        <f>'Data Sheet'!H49</f>
        <v>17656.61</v>
      </c>
      <c r="I12" s="1">
        <f>'Data Sheet'!I49</f>
        <v>18834.88</v>
      </c>
      <c r="J12" s="1">
        <f>'Data Sheet'!J49</f>
        <v>16257.91</v>
      </c>
      <c r="K12" s="1">
        <f>'Data Sheet'!K49</f>
        <v>19610.669999999998</v>
      </c>
    </row>
    <row r="14" spans="1:11" s="2" customFormat="1" x14ac:dyDescent="0.3">
      <c r="A14" s="2" t="s">
        <v>18</v>
      </c>
      <c r="B14" s="10">
        <f>IF(B4&gt;0,B6/B4,"")</f>
        <v>0.63903690851377448</v>
      </c>
      <c r="C14" s="10">
        <f t="shared" ref="C14:K14" si="0">IF(C4&gt;0,C6/C4,"")</f>
        <v>0.39565733064495706</v>
      </c>
      <c r="D14" s="10">
        <f t="shared" si="0"/>
        <v>0.35224695054376998</v>
      </c>
      <c r="E14" s="10">
        <f t="shared" si="0"/>
        <v>0.20765970475218234</v>
      </c>
      <c r="F14" s="10">
        <f t="shared" si="0"/>
        <v>0.39065683011593433</v>
      </c>
      <c r="G14" s="10">
        <f t="shared" si="0"/>
        <v>0.37261408558762399</v>
      </c>
      <c r="H14" s="10">
        <f t="shared" si="0"/>
        <v>0.51426731625771682</v>
      </c>
      <c r="I14" s="10">
        <f t="shared" si="0"/>
        <v>0.45022444282245061</v>
      </c>
      <c r="J14" s="10">
        <f t="shared" si="0"/>
        <v>0.26181470077268582</v>
      </c>
      <c r="K14" s="10">
        <f t="shared" si="0"/>
        <v>0.48087266868550693</v>
      </c>
    </row>
    <row r="22" s="23" customFormat="1" x14ac:dyDescent="0.3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77734375" defaultRowHeight="14.4" x14ac:dyDescent="0.3"/>
  <cols>
    <col min="1" max="1" width="22.77734375" bestFit="1" customWidth="1"/>
    <col min="2" max="2" width="13.44140625" customWidth="1"/>
    <col min="3" max="11" width="15.44140625" customWidth="1"/>
  </cols>
  <sheetData>
    <row r="1" spans="1:11" s="2" customFormat="1" x14ac:dyDescent="0.3">
      <c r="A1" s="2" t="str">
        <f>'Profit &amp; Loss'!A1</f>
        <v>HDFC BANK LTD</v>
      </c>
      <c r="E1" t="str">
        <f>UPDATE</f>
        <v/>
      </c>
      <c r="G1"/>
      <c r="J1" s="2" t="s">
        <v>1</v>
      </c>
    </row>
    <row r="2" spans="1:11" x14ac:dyDescent="0.3">
      <c r="G2" s="2"/>
      <c r="H2" s="2"/>
    </row>
    <row r="3" spans="1:11" x14ac:dyDescent="0.3">
      <c r="A3" s="11" t="s">
        <v>2</v>
      </c>
      <c r="B3" s="12">
        <f>'Data Sheet'!B56</f>
        <v>42460</v>
      </c>
      <c r="C3" s="12">
        <f>'Data Sheet'!C56</f>
        <v>42825</v>
      </c>
      <c r="D3" s="12">
        <f>'Data Sheet'!D56</f>
        <v>43190</v>
      </c>
      <c r="E3" s="12">
        <f>'Data Sheet'!E56</f>
        <v>43555</v>
      </c>
      <c r="F3" s="12">
        <f>'Data Sheet'!F56</f>
        <v>43921</v>
      </c>
      <c r="G3" s="12">
        <f>'Data Sheet'!G56</f>
        <v>44286</v>
      </c>
      <c r="H3" s="12">
        <f>'Data Sheet'!H56</f>
        <v>44651</v>
      </c>
      <c r="I3" s="12">
        <f>'Data Sheet'!I56</f>
        <v>45016</v>
      </c>
      <c r="J3" s="12">
        <f>'Data Sheet'!J56</f>
        <v>45382</v>
      </c>
      <c r="K3" s="12">
        <f>'Data Sheet'!K56</f>
        <v>45747</v>
      </c>
    </row>
    <row r="4" spans="1:11" x14ac:dyDescent="0.3">
      <c r="A4" t="s">
        <v>24</v>
      </c>
      <c r="B4" s="14">
        <f>'Data Sheet'!B57</f>
        <v>505.64</v>
      </c>
      <c r="C4" s="14">
        <f>'Data Sheet'!C57</f>
        <v>512.51</v>
      </c>
      <c r="D4" s="14">
        <f>'Data Sheet'!D57</f>
        <v>519.02</v>
      </c>
      <c r="E4" s="14">
        <f>'Data Sheet'!E57</f>
        <v>544.66</v>
      </c>
      <c r="F4" s="14">
        <f>'Data Sheet'!F57</f>
        <v>548.33000000000004</v>
      </c>
      <c r="G4" s="14">
        <f>'Data Sheet'!G57</f>
        <v>551.28</v>
      </c>
      <c r="H4" s="14">
        <f>'Data Sheet'!H57</f>
        <v>554.54999999999995</v>
      </c>
      <c r="I4" s="14">
        <f>'Data Sheet'!I57</f>
        <v>557.97</v>
      </c>
      <c r="J4" s="14">
        <f>'Data Sheet'!J57</f>
        <v>759.69</v>
      </c>
      <c r="K4" s="14">
        <f>'Data Sheet'!K57</f>
        <v>765.22</v>
      </c>
    </row>
    <row r="5" spans="1:11" x14ac:dyDescent="0.3">
      <c r="A5" t="s">
        <v>25</v>
      </c>
      <c r="B5" s="14">
        <f>'Data Sheet'!B58</f>
        <v>73798.490000000005</v>
      </c>
      <c r="C5" s="14">
        <f>'Data Sheet'!C58</f>
        <v>91281.44</v>
      </c>
      <c r="D5" s="14">
        <f>'Data Sheet'!D58</f>
        <v>109080.11</v>
      </c>
      <c r="E5" s="14">
        <f>'Data Sheet'!E58</f>
        <v>153128</v>
      </c>
      <c r="F5" s="14">
        <f>'Data Sheet'!F58</f>
        <v>175810.38</v>
      </c>
      <c r="G5" s="14">
        <f>'Data Sheet'!G58</f>
        <v>209258.9</v>
      </c>
      <c r="H5" s="14">
        <f>'Data Sheet'!H58</f>
        <v>246771.62</v>
      </c>
      <c r="I5" s="14">
        <f>'Data Sheet'!I58</f>
        <v>288879.53000000003</v>
      </c>
      <c r="J5" s="14">
        <f>'Data Sheet'!J58</f>
        <v>455635.56</v>
      </c>
      <c r="K5" s="14">
        <f>'Data Sheet'!K58</f>
        <v>521024.17</v>
      </c>
    </row>
    <row r="6" spans="1:11" x14ac:dyDescent="0.3">
      <c r="A6" t="s">
        <v>71</v>
      </c>
      <c r="B6" s="14">
        <f>'Data Sheet'!B59</f>
        <v>649587.25</v>
      </c>
      <c r="C6" s="14">
        <f>'Data Sheet'!C59</f>
        <v>741549.89</v>
      </c>
      <c r="D6" s="14">
        <f>'Data Sheet'!D59</f>
        <v>944817.22</v>
      </c>
      <c r="E6" s="14">
        <f>'Data Sheet'!E59</f>
        <v>1080235.46</v>
      </c>
      <c r="F6" s="14">
        <f>'Data Sheet'!F59</f>
        <v>1333041.45</v>
      </c>
      <c r="G6" s="14">
        <f>'Data Sheet'!G59</f>
        <v>1511417.62</v>
      </c>
      <c r="H6" s="14">
        <f>'Data Sheet'!H59</f>
        <v>1784969.53</v>
      </c>
      <c r="I6" s="14">
        <f>'Data Sheet'!I59</f>
        <v>2139211.91</v>
      </c>
      <c r="J6" s="14">
        <f>'Data Sheet'!J59</f>
        <v>3107502.74</v>
      </c>
      <c r="K6" s="14">
        <f>'Data Sheet'!K59</f>
        <v>3345503.8</v>
      </c>
    </row>
    <row r="7" spans="1:11" x14ac:dyDescent="0.3">
      <c r="A7" t="s">
        <v>72</v>
      </c>
      <c r="B7" s="14">
        <f>'Data Sheet'!B60</f>
        <v>38320.949999999997</v>
      </c>
      <c r="C7" s="14">
        <f>'Data Sheet'!C60</f>
        <v>59000.32</v>
      </c>
      <c r="D7" s="14">
        <f>'Data Sheet'!D60</f>
        <v>48769.82</v>
      </c>
      <c r="E7" s="14">
        <f>'Data Sheet'!E60</f>
        <v>58897.59</v>
      </c>
      <c r="F7" s="14">
        <f>'Data Sheet'!F60</f>
        <v>71430.27</v>
      </c>
      <c r="G7" s="14">
        <f>'Data Sheet'!G60</f>
        <v>78278.83</v>
      </c>
      <c r="H7" s="14">
        <f>'Data Sheet'!H60</f>
        <v>90638.6</v>
      </c>
      <c r="I7" s="14">
        <f>'Data Sheet'!I60</f>
        <v>101783.03</v>
      </c>
      <c r="J7" s="14">
        <f>'Data Sheet'!J60</f>
        <v>466296.27</v>
      </c>
      <c r="K7" s="14">
        <f>'Data Sheet'!K60</f>
        <v>524816.64000000001</v>
      </c>
    </row>
    <row r="8" spans="1:11" s="2" customFormat="1" x14ac:dyDescent="0.3">
      <c r="A8" s="2" t="s">
        <v>26</v>
      </c>
      <c r="B8" s="15">
        <f>'Data Sheet'!B61</f>
        <v>762212.33</v>
      </c>
      <c r="C8" s="15">
        <f>'Data Sheet'!C61</f>
        <v>892344.16</v>
      </c>
      <c r="D8" s="15">
        <f>'Data Sheet'!D61</f>
        <v>1103186.17</v>
      </c>
      <c r="E8" s="15">
        <f>'Data Sheet'!E61</f>
        <v>1292805.71</v>
      </c>
      <c r="F8" s="15">
        <f>'Data Sheet'!F61</f>
        <v>1580830.43</v>
      </c>
      <c r="G8" s="15">
        <f>'Data Sheet'!G61</f>
        <v>1799506.63</v>
      </c>
      <c r="H8" s="15">
        <f>'Data Sheet'!H61</f>
        <v>2122934.2999999998</v>
      </c>
      <c r="I8" s="15">
        <f>'Data Sheet'!I61</f>
        <v>2530432.44</v>
      </c>
      <c r="J8" s="15">
        <f>'Data Sheet'!J61</f>
        <v>4030194.26</v>
      </c>
      <c r="K8" s="15">
        <f>'Data Sheet'!K61</f>
        <v>4392109.83</v>
      </c>
    </row>
    <row r="9" spans="1:11" s="2" customFormat="1" x14ac:dyDescent="0.3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3">
      <c r="A10" t="s">
        <v>27</v>
      </c>
      <c r="B10" s="14">
        <f>'Data Sheet'!B62</f>
        <v>3666.86</v>
      </c>
      <c r="C10" s="14">
        <f>'Data Sheet'!C62</f>
        <v>3999.7</v>
      </c>
      <c r="D10" s="14">
        <f>'Data Sheet'!D62</f>
        <v>4008.13</v>
      </c>
      <c r="E10" s="14">
        <f>'Data Sheet'!E62</f>
        <v>4368.63</v>
      </c>
      <c r="F10" s="14">
        <f>'Data Sheet'!F62</f>
        <v>4775.6499999999996</v>
      </c>
      <c r="G10" s="14">
        <f>'Data Sheet'!G62</f>
        <v>5248.35</v>
      </c>
      <c r="H10" s="14">
        <f>'Data Sheet'!H62</f>
        <v>6432.07</v>
      </c>
      <c r="I10" s="14">
        <f>'Data Sheet'!I62</f>
        <v>8431.35</v>
      </c>
      <c r="J10" s="14">
        <f>'Data Sheet'!J62</f>
        <v>12603.76</v>
      </c>
      <c r="K10" s="14">
        <f>'Data Sheet'!K62</f>
        <v>15257.94</v>
      </c>
    </row>
    <row r="11" spans="1:11" x14ac:dyDescent="0.3">
      <c r="A11" t="s">
        <v>28</v>
      </c>
      <c r="B11" s="14">
        <f>'Data Sheet'!B63</f>
        <v>0</v>
      </c>
      <c r="C11" s="14">
        <f>'Data Sheet'!C63</f>
        <v>0</v>
      </c>
      <c r="D11" s="14">
        <f>'Data Sheet'!D63</f>
        <v>0</v>
      </c>
      <c r="E11" s="14">
        <f>'Data Sheet'!E63</f>
        <v>0</v>
      </c>
      <c r="F11" s="14">
        <f>'Data Sheet'!F63</f>
        <v>0</v>
      </c>
      <c r="G11" s="14">
        <f>'Data Sheet'!G63</f>
        <v>0</v>
      </c>
      <c r="H11" s="14">
        <f>'Data Sheet'!H63</f>
        <v>0</v>
      </c>
      <c r="I11" s="14">
        <f>'Data Sheet'!I63</f>
        <v>0</v>
      </c>
      <c r="J11" s="14">
        <f>'Data Sheet'!J63</f>
        <v>0</v>
      </c>
      <c r="K11" s="14">
        <f>'Data Sheet'!K63</f>
        <v>0</v>
      </c>
    </row>
    <row r="12" spans="1:11" x14ac:dyDescent="0.3">
      <c r="A12" t="s">
        <v>29</v>
      </c>
      <c r="B12" s="14">
        <f>'Data Sheet'!B64</f>
        <v>193633.85</v>
      </c>
      <c r="C12" s="14">
        <f>'Data Sheet'!C64</f>
        <v>210777.11</v>
      </c>
      <c r="D12" s="14">
        <f>'Data Sheet'!D64</f>
        <v>238460.92</v>
      </c>
      <c r="E12" s="14">
        <f>'Data Sheet'!E64</f>
        <v>289445.87</v>
      </c>
      <c r="F12" s="14">
        <f>'Data Sheet'!F64</f>
        <v>389304.95</v>
      </c>
      <c r="G12" s="14">
        <f>'Data Sheet'!G64</f>
        <v>438823.11</v>
      </c>
      <c r="H12" s="14">
        <f>'Data Sheet'!H64</f>
        <v>449263.86</v>
      </c>
      <c r="I12" s="14">
        <f>'Data Sheet'!I64</f>
        <v>511581.71</v>
      </c>
      <c r="J12" s="14">
        <f>'Data Sheet'!J64</f>
        <v>1005681.63</v>
      </c>
      <c r="K12" s="14">
        <f>'Data Sheet'!K64</f>
        <v>1186472.8899999999</v>
      </c>
    </row>
    <row r="13" spans="1:11" x14ac:dyDescent="0.3">
      <c r="A13" t="s">
        <v>73</v>
      </c>
      <c r="B13" s="14">
        <f>'Data Sheet'!B65</f>
        <v>564911.62</v>
      </c>
      <c r="C13" s="14">
        <f>'Data Sheet'!C65</f>
        <v>677567.35</v>
      </c>
      <c r="D13" s="14">
        <f>'Data Sheet'!D65</f>
        <v>860717.12</v>
      </c>
      <c r="E13" s="14">
        <f>'Data Sheet'!E65</f>
        <v>998991.21</v>
      </c>
      <c r="F13" s="14">
        <f>'Data Sheet'!F65</f>
        <v>1186749.83</v>
      </c>
      <c r="G13" s="14">
        <f>'Data Sheet'!G65</f>
        <v>1355435.17</v>
      </c>
      <c r="H13" s="14">
        <f>'Data Sheet'!H65</f>
        <v>1667238.37</v>
      </c>
      <c r="I13" s="14">
        <f>'Data Sheet'!I65</f>
        <v>2010419.38</v>
      </c>
      <c r="J13" s="14">
        <f>'Data Sheet'!J65</f>
        <v>3011908.87</v>
      </c>
      <c r="K13" s="14">
        <f>'Data Sheet'!K65</f>
        <v>3190379</v>
      </c>
    </row>
    <row r="14" spans="1:11" s="2" customFormat="1" x14ac:dyDescent="0.3">
      <c r="A14" s="2" t="s">
        <v>26</v>
      </c>
      <c r="B14" s="14">
        <f>'Data Sheet'!B66</f>
        <v>762212.33</v>
      </c>
      <c r="C14" s="14">
        <f>'Data Sheet'!C66</f>
        <v>892344.16</v>
      </c>
      <c r="D14" s="14">
        <f>'Data Sheet'!D66</f>
        <v>1103186.17</v>
      </c>
      <c r="E14" s="14">
        <f>'Data Sheet'!E66</f>
        <v>1292805.71</v>
      </c>
      <c r="F14" s="14">
        <f>'Data Sheet'!F66</f>
        <v>1580830.43</v>
      </c>
      <c r="G14" s="14">
        <f>'Data Sheet'!G66</f>
        <v>1799506.63</v>
      </c>
      <c r="H14" s="14">
        <f>'Data Sheet'!H66</f>
        <v>2122934.2999999998</v>
      </c>
      <c r="I14" s="14">
        <f>'Data Sheet'!I66</f>
        <v>2530432.44</v>
      </c>
      <c r="J14" s="14">
        <f>'Data Sheet'!J66</f>
        <v>4030194.26</v>
      </c>
      <c r="K14" s="14">
        <f>'Data Sheet'!K66</f>
        <v>4392109.83</v>
      </c>
    </row>
    <row r="15" spans="1:11" x14ac:dyDescent="0.3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3">
      <c r="A16" t="s">
        <v>30</v>
      </c>
      <c r="B16" s="4">
        <f>B13-B7</f>
        <v>526590.67000000004</v>
      </c>
      <c r="C16" s="4">
        <f t="shared" ref="C16:K16" si="0">C13-C7</f>
        <v>618567.03</v>
      </c>
      <c r="D16" s="4">
        <f t="shared" si="0"/>
        <v>811947.3</v>
      </c>
      <c r="E16" s="4">
        <f t="shared" si="0"/>
        <v>940093.62</v>
      </c>
      <c r="F16" s="4">
        <f t="shared" si="0"/>
        <v>1115319.56</v>
      </c>
      <c r="G16" s="4">
        <f t="shared" si="0"/>
        <v>1277156.3399999999</v>
      </c>
      <c r="H16" s="4">
        <f t="shared" si="0"/>
        <v>1576599.77</v>
      </c>
      <c r="I16" s="4">
        <f t="shared" si="0"/>
        <v>1908636.3499999999</v>
      </c>
      <c r="J16" s="4">
        <f t="shared" si="0"/>
        <v>2545612.6</v>
      </c>
      <c r="K16" s="4">
        <f t="shared" si="0"/>
        <v>2665562.36</v>
      </c>
    </row>
    <row r="17" spans="1:11" x14ac:dyDescent="0.3">
      <c r="A17" t="s">
        <v>44</v>
      </c>
      <c r="B17" s="4">
        <f>'Data Sheet'!B67</f>
        <v>0</v>
      </c>
      <c r="C17" s="4">
        <f>'Data Sheet'!C67</f>
        <v>0</v>
      </c>
      <c r="D17" s="4">
        <f>'Data Sheet'!D67</f>
        <v>0</v>
      </c>
      <c r="E17" s="4">
        <f>'Data Sheet'!E67</f>
        <v>0</v>
      </c>
      <c r="F17" s="4">
        <f>'Data Sheet'!F67</f>
        <v>0</v>
      </c>
      <c r="G17" s="4">
        <f>'Data Sheet'!G67</f>
        <v>0</v>
      </c>
      <c r="H17" s="4">
        <f>'Data Sheet'!H67</f>
        <v>0</v>
      </c>
      <c r="I17" s="4">
        <f>'Data Sheet'!I67</f>
        <v>0</v>
      </c>
      <c r="J17" s="4">
        <f>'Data Sheet'!J67</f>
        <v>0</v>
      </c>
      <c r="K17" s="4">
        <f>'Data Sheet'!K67</f>
        <v>0</v>
      </c>
    </row>
    <row r="18" spans="1:11" x14ac:dyDescent="0.3">
      <c r="A18" t="s">
        <v>45</v>
      </c>
      <c r="B18" s="4">
        <f>'Data Sheet'!B68</f>
        <v>0</v>
      </c>
      <c r="C18" s="4">
        <f>'Data Sheet'!C68</f>
        <v>0</v>
      </c>
      <c r="D18" s="4">
        <f>'Data Sheet'!D68</f>
        <v>0</v>
      </c>
      <c r="E18" s="4">
        <f>'Data Sheet'!E68</f>
        <v>0</v>
      </c>
      <c r="F18" s="4">
        <f>'Data Sheet'!F68</f>
        <v>0</v>
      </c>
      <c r="G18" s="4">
        <f>'Data Sheet'!G68</f>
        <v>0</v>
      </c>
      <c r="H18" s="4">
        <f>'Data Sheet'!H68</f>
        <v>0</v>
      </c>
      <c r="I18" s="4">
        <f>'Data Sheet'!I68</f>
        <v>0</v>
      </c>
      <c r="J18" s="4">
        <f>'Data Sheet'!J68</f>
        <v>0</v>
      </c>
      <c r="K18" s="4">
        <f>'Data Sheet'!K68</f>
        <v>0</v>
      </c>
    </row>
    <row r="20" spans="1:11" x14ac:dyDescent="0.3">
      <c r="A20" t="s">
        <v>46</v>
      </c>
      <c r="B20" s="4">
        <f>IF('Profit &amp; Loss'!B4&gt;0,'Balance Sheet'!B17/('Profit &amp; Loss'!B4/365),0)</f>
        <v>0</v>
      </c>
      <c r="C20" s="4">
        <f>IF('Profit &amp; Loss'!C4&gt;0,'Balance Sheet'!C17/('Profit &amp; Loss'!C4/365),0)</f>
        <v>0</v>
      </c>
      <c r="D20" s="4">
        <f>IF('Profit &amp; Loss'!D4&gt;0,'Balance Sheet'!D17/('Profit &amp; Loss'!D4/365),0)</f>
        <v>0</v>
      </c>
      <c r="E20" s="4">
        <f>IF('Profit &amp; Loss'!E4&gt;0,'Balance Sheet'!E17/('Profit &amp; Loss'!E4/365),0)</f>
        <v>0</v>
      </c>
      <c r="F20" s="4">
        <f>IF('Profit &amp; Loss'!F4&gt;0,'Balance Sheet'!F17/('Profit &amp; Loss'!F4/365),0)</f>
        <v>0</v>
      </c>
      <c r="G20" s="4">
        <f>IF('Profit &amp; Loss'!G4&gt;0,'Balance Sheet'!G17/('Profit &amp; Loss'!G4/365),0)</f>
        <v>0</v>
      </c>
      <c r="H20" s="4">
        <f>IF('Profit &amp; Loss'!H4&gt;0,'Balance Sheet'!H17/('Profit &amp; Loss'!H4/365),0)</f>
        <v>0</v>
      </c>
      <c r="I20" s="4">
        <f>IF('Profit &amp; Loss'!I4&gt;0,'Balance Sheet'!I17/('Profit &amp; Loss'!I4/365),0)</f>
        <v>0</v>
      </c>
      <c r="J20" s="4">
        <f>IF('Profit &amp; Loss'!J4&gt;0,'Balance Sheet'!J17/('Profit &amp; Loss'!J4/365),0)</f>
        <v>0</v>
      </c>
      <c r="K20" s="4">
        <f>IF('Profit &amp; Loss'!K4&gt;0,'Balance Sheet'!K17/('Profit &amp; Loss'!K4/365),0)</f>
        <v>0</v>
      </c>
    </row>
    <row r="21" spans="1:11" x14ac:dyDescent="0.3">
      <c r="A21" t="s">
        <v>47</v>
      </c>
      <c r="B21" s="4">
        <f>IF('Balance Sheet'!B18&gt;0,'Profit &amp; Loss'!B4/'Balance Sheet'!B18,0)</f>
        <v>0</v>
      </c>
      <c r="C21" s="4">
        <f>IF('Balance Sheet'!C18&gt;0,'Profit &amp; Loss'!C4/'Balance Sheet'!C18,0)</f>
        <v>0</v>
      </c>
      <c r="D21" s="4">
        <f>IF('Balance Sheet'!D18&gt;0,'Profit &amp; Loss'!D4/'Balance Sheet'!D18,0)</f>
        <v>0</v>
      </c>
      <c r="E21" s="4">
        <f>IF('Balance Sheet'!E18&gt;0,'Profit &amp; Loss'!E4/'Balance Sheet'!E18,0)</f>
        <v>0</v>
      </c>
      <c r="F21" s="4">
        <f>IF('Balance Sheet'!F18&gt;0,'Profit &amp; Loss'!F4/'Balance Sheet'!F18,0)</f>
        <v>0</v>
      </c>
      <c r="G21" s="4">
        <f>IF('Balance Sheet'!G18&gt;0,'Profit &amp; Loss'!G4/'Balance Sheet'!G18,0)</f>
        <v>0</v>
      </c>
      <c r="H21" s="4">
        <f>IF('Balance Sheet'!H18&gt;0,'Profit &amp; Loss'!H4/'Balance Sheet'!H18,0)</f>
        <v>0</v>
      </c>
      <c r="I21" s="4">
        <f>IF('Balance Sheet'!I18&gt;0,'Profit &amp; Loss'!I4/'Balance Sheet'!I18,0)</f>
        <v>0</v>
      </c>
      <c r="J21" s="4">
        <f>IF('Balance Sheet'!J18&gt;0,'Profit &amp; Loss'!J4/'Balance Sheet'!J18,0)</f>
        <v>0</v>
      </c>
      <c r="K21" s="4">
        <f>IF('Balance Sheet'!K18&gt;0,'Profit &amp; Loss'!K4/'Balance Sheet'!K18,0)</f>
        <v>0</v>
      </c>
    </row>
    <row r="23" spans="1:11" s="2" customFormat="1" x14ac:dyDescent="0.3">
      <c r="A23" s="2" t="s">
        <v>59</v>
      </c>
      <c r="B23" s="10">
        <f>IF(SUM('Balance Sheet'!B4:B5)&gt;0,'Profit &amp; Loss'!B12/SUM('Balance Sheet'!B4:B5),"")</f>
        <v>0.17228288656364052</v>
      </c>
      <c r="C23" s="10">
        <f>IF(SUM('Balance Sheet'!C4:C5)&gt;0,'Profit &amp; Loss'!C12/SUM('Balance Sheet'!C4:C5),"")</f>
        <v>0.16646500123374144</v>
      </c>
      <c r="D23" s="10">
        <f>IF(SUM('Balance Sheet'!D4:D5)&gt;0,'Profit &amp; Loss'!D12/SUM('Balance Sheet'!D4:D5),"")</f>
        <v>0.16888838442421941</v>
      </c>
      <c r="E23" s="10">
        <f>IF(SUM('Balance Sheet'!E4:E5)&gt;0,'Profit &amp; Loss'!E12/SUM('Balance Sheet'!E4:E5),"")</f>
        <v>0.14532467909386093</v>
      </c>
      <c r="F23" s="10">
        <f>IF(SUM('Balance Sheet'!F4:F5)&gt;0,'Profit &amp; Loss'!F12/SUM('Balance Sheet'!F4:F5),"")</f>
        <v>0.15453702286663359</v>
      </c>
      <c r="G23" s="10">
        <f>IF(SUM('Balance Sheet'!G4:G5)&gt;0,'Profit &amp; Loss'!G12/SUM('Balance Sheet'!G4:G5),"")</f>
        <v>0.15172385820363912</v>
      </c>
      <c r="H23" s="10">
        <f>IF(SUM('Balance Sheet'!H4:H5)&gt;0,'Profit &amp; Loss'!H12/SUM('Balance Sheet'!H4:H5),"")</f>
        <v>0.15385654498268422</v>
      </c>
      <c r="I23" s="10">
        <f>IF(SUM('Balance Sheet'!I4:I5)&gt;0,'Profit &amp; Loss'!I12/SUM('Balance Sheet'!I4:I5),"")</f>
        <v>0.1589189721442453</v>
      </c>
      <c r="J23" s="10">
        <f>IF(SUM('Balance Sheet'!J4:J5)&gt;0,'Profit &amp; Loss'!J12/SUM('Balance Sheet'!J4:J5),"")</f>
        <v>0.1403652645377006</v>
      </c>
      <c r="K23" s="10">
        <f>IF(SUM('Balance Sheet'!K4:K5)&gt;0,'Profit &amp; Loss'!K12/SUM('Balance Sheet'!K4:K5),"")</f>
        <v>0.13567207642915086</v>
      </c>
    </row>
    <row r="24" spans="1:11" s="2" customFormat="1" x14ac:dyDescent="0.3">
      <c r="A24" s="2" t="s">
        <v>60</v>
      </c>
      <c r="B24" s="10"/>
      <c r="C24" s="10">
        <f>IF((B4+B5+B6+C4+C5+C6)&gt;0,('Profit &amp; Loss'!C10+'Profit &amp; Loss'!C9)*2/(B4+B5+B6+C4+C5+C6),"")</f>
        <v>7.8902081343883296E-2</v>
      </c>
      <c r="D24" s="10">
        <f>IF((C4+C5+C6+D4+D5+D6)&gt;0,('Profit &amp; Loss'!D10+'Profit &amp; Loss'!D9)*2/(C4+C5+C6+D4+D5+D6),"")</f>
        <v>7.5057626890627449E-2</v>
      </c>
      <c r="E24" s="10">
        <f>IF((D4+D5+D6+E4+E5+E6)&gt;0,('Profit &amp; Loss'!E10+'Profit &amp; Loss'!E9)*2/(D4+D5+D6+E4+E5+E6),"")</f>
        <v>7.6939132674659572E-2</v>
      </c>
      <c r="F24" s="10">
        <f>IF((E4+E5+E6+F4+F5+F6)&gt;0,('Profit &amp; Loss'!F10+'Profit &amp; Loss'!F9)*2/(E4+E5+E6+F4+F5+F6),"")</f>
        <v>7.3146923174088177E-2</v>
      </c>
      <c r="G24" s="10">
        <f>IF((F4+F5+F6+G4+G5+G6)&gt;0,('Profit &amp; Loss'!G10+'Profit &amp; Loss'!G9)*2/(F4+F5+F6+G4+G5+G6),"")</f>
        <v>6.3172696617161697E-2</v>
      </c>
      <c r="H24" s="10">
        <f>IF((G4+G5+G6+H4+H5+H6)&gt;0,('Profit &amp; Loss'!H10+'Profit &amp; Loss'!H9)*2/(G4+G5+G6+H4+H5+H6),"")</f>
        <v>5.8322645375738287E-2</v>
      </c>
      <c r="I24" s="10">
        <f>IF((H4+H5+H6+I4+I5+I6)&gt;0,('Profit &amp; Loss'!I10+'Profit &amp; Loss'!I9)*2/(H4+H5+H6+I4+I5+I6),"")</f>
        <v>6.2443417959921955E-2</v>
      </c>
      <c r="J24" s="10">
        <f>IF((I4+I5+I6+J4+J5+J6)&gt;0,('Profit &amp; Loss'!J10+'Profit &amp; Loss'!J9)*2/(I4+I5+I6+J4+J5+J6),"")</f>
        <v>7.6998022577176431E-2</v>
      </c>
      <c r="K24" s="10">
        <f>IF((J4+J5+J6+K4+K5+K6)&gt;0,('Profit &amp; Loss'!K10+'Profit &amp; Loss'!K9)*2/(J4+J5+J6+K4+K5+K6),"")</f>
        <v>7.5394709465676807E-2</v>
      </c>
    </row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6.77734375" bestFit="1" customWidth="1"/>
    <col min="2" max="6" width="13.44140625" customWidth="1"/>
    <col min="7" max="11" width="13.44140625" bestFit="1" customWidth="1"/>
  </cols>
  <sheetData>
    <row r="1" spans="1:11" s="2" customFormat="1" x14ac:dyDescent="0.3">
      <c r="A1" s="2" t="str">
        <f>'Balance Sheet'!A1</f>
        <v>HDFC BANK LTD</v>
      </c>
      <c r="E1" t="str">
        <f>UPDATE</f>
        <v/>
      </c>
      <c r="F1"/>
      <c r="J1" s="2" t="s">
        <v>1</v>
      </c>
    </row>
    <row r="3" spans="1:11" s="2" customFormat="1" x14ac:dyDescent="0.3">
      <c r="A3" s="11" t="s">
        <v>2</v>
      </c>
      <c r="B3" s="12">
        <f>'Data Sheet'!B81</f>
        <v>42460</v>
      </c>
      <c r="C3" s="12">
        <f>'Data Sheet'!C81</f>
        <v>42825</v>
      </c>
      <c r="D3" s="12">
        <f>'Data Sheet'!D81</f>
        <v>43190</v>
      </c>
      <c r="E3" s="12">
        <f>'Data Sheet'!E81</f>
        <v>43555</v>
      </c>
      <c r="F3" s="12">
        <f>'Data Sheet'!F81</f>
        <v>43921</v>
      </c>
      <c r="G3" s="12">
        <f>'Data Sheet'!G81</f>
        <v>44286</v>
      </c>
      <c r="H3" s="12">
        <f>'Data Sheet'!H81</f>
        <v>44651</v>
      </c>
      <c r="I3" s="12">
        <f>'Data Sheet'!I81</f>
        <v>45016</v>
      </c>
      <c r="J3" s="12">
        <f>'Data Sheet'!J81</f>
        <v>45382</v>
      </c>
      <c r="K3" s="12">
        <f>'Data Sheet'!K81</f>
        <v>45747</v>
      </c>
    </row>
    <row r="4" spans="1:11" s="2" customFormat="1" x14ac:dyDescent="0.3">
      <c r="A4" s="2" t="s">
        <v>32</v>
      </c>
      <c r="B4" s="1">
        <f>'Data Sheet'!B82</f>
        <v>-34435.370000000003</v>
      </c>
      <c r="C4" s="1">
        <f>'Data Sheet'!C82</f>
        <v>17281.59</v>
      </c>
      <c r="D4" s="1">
        <f>'Data Sheet'!D82</f>
        <v>17214.38</v>
      </c>
      <c r="E4" s="1">
        <f>'Data Sheet'!E82</f>
        <v>-62871.54</v>
      </c>
      <c r="F4" s="1">
        <f>'Data Sheet'!F82</f>
        <v>-16869.09</v>
      </c>
      <c r="G4" s="1">
        <f>'Data Sheet'!G82</f>
        <v>42476.45</v>
      </c>
      <c r="H4" s="1">
        <f>'Data Sheet'!H82</f>
        <v>-11959.57</v>
      </c>
      <c r="I4" s="1">
        <f>'Data Sheet'!I82</f>
        <v>20813.7</v>
      </c>
      <c r="J4" s="1">
        <f>'Data Sheet'!J82</f>
        <v>19069.34</v>
      </c>
      <c r="K4" s="1">
        <f>'Data Sheet'!K82</f>
        <v>127241.84</v>
      </c>
    </row>
    <row r="5" spans="1:11" x14ac:dyDescent="0.3">
      <c r="A5" t="s">
        <v>33</v>
      </c>
      <c r="B5" s="6">
        <f>'Data Sheet'!B83</f>
        <v>-837.31</v>
      </c>
      <c r="C5" s="6">
        <f>'Data Sheet'!C83</f>
        <v>-1146.3800000000001</v>
      </c>
      <c r="D5" s="6">
        <f>'Data Sheet'!D83</f>
        <v>-841.6</v>
      </c>
      <c r="E5" s="6">
        <f>'Data Sheet'!E83</f>
        <v>-1503.06</v>
      </c>
      <c r="F5" s="6">
        <f>'Data Sheet'!F83</f>
        <v>-1402.94</v>
      </c>
      <c r="G5" s="6">
        <f>'Data Sheet'!G83</f>
        <v>-1822.7</v>
      </c>
      <c r="H5" s="6">
        <f>'Data Sheet'!H83</f>
        <v>-2051.23</v>
      </c>
      <c r="I5" s="6">
        <f>'Data Sheet'!I83</f>
        <v>-2992.18</v>
      </c>
      <c r="J5" s="6">
        <f>'Data Sheet'!J83</f>
        <v>16600.419999999998</v>
      </c>
      <c r="K5" s="6">
        <f>'Data Sheet'!K83</f>
        <v>-3650.91</v>
      </c>
    </row>
    <row r="6" spans="1:11" x14ac:dyDescent="0.3">
      <c r="A6" t="s">
        <v>34</v>
      </c>
      <c r="B6" s="6">
        <f>'Data Sheet'!B84</f>
        <v>37815.129999999997</v>
      </c>
      <c r="C6" s="6">
        <f>'Data Sheet'!C84</f>
        <v>-5892.97</v>
      </c>
      <c r="D6" s="6">
        <f>'Data Sheet'!D84</f>
        <v>57377.66</v>
      </c>
      <c r="E6" s="6">
        <f>'Data Sheet'!E84</f>
        <v>23130.69</v>
      </c>
      <c r="F6" s="6">
        <f>'Data Sheet'!F84</f>
        <v>24394.5</v>
      </c>
      <c r="G6" s="6">
        <f>'Data Sheet'!G84</f>
        <v>-7321.35</v>
      </c>
      <c r="H6" s="6">
        <f>'Data Sheet'!H84</f>
        <v>48124.02</v>
      </c>
      <c r="I6" s="6">
        <f>'Data Sheet'!I84</f>
        <v>23940.560000000001</v>
      </c>
      <c r="J6" s="6">
        <f>'Data Sheet'!J84</f>
        <v>-3983.06</v>
      </c>
      <c r="K6" s="6">
        <f>'Data Sheet'!K84</f>
        <v>-102477.54</v>
      </c>
    </row>
    <row r="7" spans="1:11" s="2" customFormat="1" x14ac:dyDescent="0.3">
      <c r="A7" s="2" t="s">
        <v>35</v>
      </c>
      <c r="B7" s="1">
        <f>'Data Sheet'!B85</f>
        <v>2542.46</v>
      </c>
      <c r="C7" s="1">
        <f>'Data Sheet'!C85</f>
        <v>10242.24</v>
      </c>
      <c r="D7" s="1">
        <f>'Data Sheet'!D85</f>
        <v>73750.44</v>
      </c>
      <c r="E7" s="1">
        <f>'Data Sheet'!E85</f>
        <v>-41243.910000000003</v>
      </c>
      <c r="F7" s="1">
        <f>'Data Sheet'!F85</f>
        <v>6122.47</v>
      </c>
      <c r="G7" s="1">
        <f>'Data Sheet'!G85</f>
        <v>33332.400000000001</v>
      </c>
      <c r="H7" s="1">
        <f>'Data Sheet'!H85</f>
        <v>34113.22</v>
      </c>
      <c r="I7" s="1">
        <f>'Data Sheet'!I85</f>
        <v>41762.080000000002</v>
      </c>
      <c r="J7" s="1">
        <f>'Data Sheet'!J85</f>
        <v>31686.7</v>
      </c>
      <c r="K7" s="1">
        <f>'Data Sheet'!K85</f>
        <v>21113.39</v>
      </c>
    </row>
    <row r="8" spans="1:11" x14ac:dyDescent="0.3">
      <c r="B8" s="6"/>
      <c r="C8" s="6"/>
      <c r="D8" s="6"/>
      <c r="E8" s="6"/>
      <c r="F8" s="6"/>
      <c r="G8" s="6"/>
      <c r="H8" s="6"/>
      <c r="I8" s="6"/>
      <c r="J8" s="6"/>
      <c r="K8" s="6"/>
    </row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77734375" defaultRowHeight="14.4" x14ac:dyDescent="0.3"/>
  <cols>
    <col min="1" max="1" width="8.77734375" style="2"/>
    <col min="2" max="2" width="10.44140625" customWidth="1"/>
    <col min="3" max="3" width="13.33203125" style="20" customWidth="1"/>
    <col min="6" max="6" width="6.77734375" customWidth="1"/>
  </cols>
  <sheetData>
    <row r="1" spans="1:7" ht="21" x14ac:dyDescent="0.4">
      <c r="A1" s="19" t="s">
        <v>56</v>
      </c>
    </row>
    <row r="3" spans="1:7" x14ac:dyDescent="0.3">
      <c r="A3" s="2" t="s">
        <v>48</v>
      </c>
    </row>
    <row r="4" spans="1:7" x14ac:dyDescent="0.3">
      <c r="B4" t="s">
        <v>90</v>
      </c>
    </row>
    <row r="5" spans="1:7" x14ac:dyDescent="0.3">
      <c r="B5" t="s">
        <v>49</v>
      </c>
    </row>
    <row r="7" spans="1:7" x14ac:dyDescent="0.3">
      <c r="A7" s="2" t="s">
        <v>50</v>
      </c>
    </row>
    <row r="8" spans="1:7" x14ac:dyDescent="0.3">
      <c r="B8" t="s">
        <v>51</v>
      </c>
      <c r="C8" s="21" t="s">
        <v>91</v>
      </c>
    </row>
    <row r="10" spans="1:7" x14ac:dyDescent="0.3">
      <c r="A10" s="2" t="s">
        <v>52</v>
      </c>
    </row>
    <row r="11" spans="1:7" x14ac:dyDescent="0.3">
      <c r="B11" t="s">
        <v>53</v>
      </c>
    </row>
    <row r="14" spans="1:7" x14ac:dyDescent="0.3">
      <c r="A14" s="2" t="s">
        <v>54</v>
      </c>
    </row>
    <row r="15" spans="1:7" x14ac:dyDescent="0.3">
      <c r="B15" t="s">
        <v>55</v>
      </c>
    </row>
    <row r="16" spans="1:7" x14ac:dyDescent="0.3">
      <c r="B16" t="s">
        <v>92</v>
      </c>
      <c r="G16" s="22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6A836-FD13-4A02-93E7-26D860E172ED}">
  <sheetPr codeName="Sheet6"/>
  <dimension ref="A2:P107"/>
  <sheetViews>
    <sheetView showGridLines="0" tabSelected="1" zoomScale="85" zoomScaleNormal="96" workbookViewId="0">
      <pane ySplit="5" topLeftCell="A61" activePane="bottomLeft" state="frozen"/>
      <selection pane="bottomLeft" activeCell="D73" sqref="D73"/>
    </sheetView>
  </sheetViews>
  <sheetFormatPr defaultRowHeight="14.4" x14ac:dyDescent="0.3"/>
  <cols>
    <col min="1" max="1" width="1.88671875" customWidth="1"/>
    <col min="2" max="2" width="55" bestFit="1" customWidth="1"/>
    <col min="3" max="5" width="16.21875" bestFit="1" customWidth="1"/>
    <col min="6" max="6" width="16.88671875" bestFit="1" customWidth="1"/>
    <col min="7" max="7" width="3" customWidth="1"/>
    <col min="8" max="12" width="16.88671875" bestFit="1" customWidth="1"/>
  </cols>
  <sheetData>
    <row r="2" spans="1:13" x14ac:dyDescent="0.3">
      <c r="B2" s="116" t="str">
        <f>"Historical &amp; Forecasted Financial Statements - "&amp; +'Data Sheet'!B1</f>
        <v>Historical &amp; Forecasted Financial Statements - HDFC BANK LTD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</row>
    <row r="3" spans="1:13" x14ac:dyDescent="0.3">
      <c r="B3" s="46"/>
      <c r="C3" s="117" t="s">
        <v>225</v>
      </c>
      <c r="D3" s="117"/>
      <c r="E3" s="117"/>
      <c r="F3" s="117"/>
      <c r="G3" s="46"/>
      <c r="H3" s="117" t="s">
        <v>226</v>
      </c>
      <c r="I3" s="117"/>
      <c r="J3" s="117"/>
      <c r="K3" s="117"/>
      <c r="L3" s="117"/>
    </row>
    <row r="4" spans="1:13" x14ac:dyDescent="0.3">
      <c r="B4" s="31" t="s">
        <v>97</v>
      </c>
      <c r="C4" s="35">
        <f>'Data Sheet'!H56</f>
        <v>44651</v>
      </c>
      <c r="D4" s="35">
        <f>'Data Sheet'!I56</f>
        <v>45016</v>
      </c>
      <c r="E4" s="35">
        <f>'Data Sheet'!J56</f>
        <v>45382</v>
      </c>
      <c r="F4" s="35">
        <f>'Data Sheet'!K56</f>
        <v>45747</v>
      </c>
      <c r="G4" s="35"/>
      <c r="H4" s="36">
        <f>F4+365</f>
        <v>46112</v>
      </c>
      <c r="I4" s="36">
        <f>H4+365</f>
        <v>46477</v>
      </c>
      <c r="J4" s="36">
        <f>I4+365</f>
        <v>46842</v>
      </c>
      <c r="K4" s="36">
        <f>J4+365</f>
        <v>47207</v>
      </c>
      <c r="L4" s="36">
        <f>K4+365</f>
        <v>47572</v>
      </c>
    </row>
    <row r="5" spans="1:13" x14ac:dyDescent="0.3">
      <c r="B5" s="31"/>
      <c r="C5" s="31">
        <v>1</v>
      </c>
      <c r="D5" s="31">
        <v>2</v>
      </c>
      <c r="E5" s="31">
        <v>3</v>
      </c>
      <c r="F5" s="31">
        <v>4</v>
      </c>
      <c r="G5" s="31"/>
      <c r="H5" s="31">
        <v>5</v>
      </c>
      <c r="I5" s="31">
        <v>6</v>
      </c>
      <c r="J5" s="31">
        <v>7</v>
      </c>
      <c r="K5" s="31">
        <v>8</v>
      </c>
      <c r="L5" s="31">
        <v>9</v>
      </c>
    </row>
    <row r="6" spans="1:13" x14ac:dyDescent="0.3">
      <c r="A6" t="s">
        <v>93</v>
      </c>
      <c r="B6" s="26" t="s">
        <v>94</v>
      </c>
      <c r="C6" s="27"/>
      <c r="D6" s="27"/>
      <c r="E6" s="27"/>
      <c r="F6" s="27"/>
      <c r="G6" s="27"/>
      <c r="H6" s="27"/>
      <c r="I6" s="27"/>
      <c r="J6" s="27"/>
      <c r="K6" s="27"/>
      <c r="L6" s="27"/>
    </row>
    <row r="7" spans="1:13" x14ac:dyDescent="0.3">
      <c r="B7" s="2" t="s">
        <v>144</v>
      </c>
      <c r="C7" s="29"/>
      <c r="D7" s="29"/>
      <c r="E7" s="29"/>
      <c r="F7" s="29"/>
      <c r="G7" s="29"/>
      <c r="H7" s="29"/>
      <c r="I7" s="29"/>
      <c r="J7" s="29"/>
      <c r="K7" s="29"/>
      <c r="L7" s="29"/>
    </row>
    <row r="8" spans="1:13" x14ac:dyDescent="0.3">
      <c r="B8" t="s">
        <v>149</v>
      </c>
      <c r="C8" s="29">
        <f>IFERROR('P&amp;L Raw Data'!C4/10000,0)</f>
        <v>127753.1191</v>
      </c>
      <c r="D8" s="29">
        <f>IFERROR('P&amp;L Raw Data'!D4/10000,0)</f>
        <v>161585.5367</v>
      </c>
      <c r="E8" s="29">
        <f>IFERROR('P&amp;L Raw Data'!E4/10000,0)</f>
        <v>258340.57550000001</v>
      </c>
      <c r="F8" s="29">
        <f>IFERROR('P&amp;L Raw Data'!F4/10000,0)</f>
        <v>300517.0417</v>
      </c>
      <c r="G8" s="29"/>
      <c r="H8" s="29">
        <f>FORECAST(H$5,$C8:$F8,$C$5:$F$5)</f>
        <v>365810.76990000001</v>
      </c>
      <c r="I8" s="29">
        <f t="shared" ref="I8:L9" si="0">FORECAST(I$5,$C8:$F8,$C$5:$F$5)</f>
        <v>427315.45055999997</v>
      </c>
      <c r="J8" s="29">
        <f t="shared" si="0"/>
        <v>488820.13121999998</v>
      </c>
      <c r="K8" s="29">
        <f t="shared" si="0"/>
        <v>550324.81187999994</v>
      </c>
      <c r="L8" s="29">
        <f t="shared" si="0"/>
        <v>611829.49254000001</v>
      </c>
    </row>
    <row r="9" spans="1:13" ht="16.2" x14ac:dyDescent="0.3">
      <c r="B9" s="84" t="s">
        <v>229</v>
      </c>
      <c r="C9" s="85">
        <f>C16</f>
        <v>55743.528200000001</v>
      </c>
      <c r="D9" s="85">
        <f t="shared" ref="D9:H9" si="1">D16</f>
        <v>74743.317299999995</v>
      </c>
      <c r="E9" s="85">
        <f t="shared" si="1"/>
        <v>149808.10079999999</v>
      </c>
      <c r="F9" s="85">
        <f t="shared" si="1"/>
        <v>177846.95269999999</v>
      </c>
      <c r="G9" s="85"/>
      <c r="H9" s="85">
        <f t="shared" si="1"/>
        <v>224879.23899999997</v>
      </c>
      <c r="I9" s="85">
        <f t="shared" si="0"/>
        <v>269016.74470000004</v>
      </c>
      <c r="J9" s="85">
        <f t="shared" si="0"/>
        <v>313154.25040000002</v>
      </c>
      <c r="K9" s="85">
        <f t="shared" si="0"/>
        <v>357291.7561</v>
      </c>
      <c r="L9" s="85">
        <f t="shared" si="0"/>
        <v>401429.26179999998</v>
      </c>
    </row>
    <row r="10" spans="1:13" ht="16.2" x14ac:dyDescent="0.3">
      <c r="B10" s="84" t="s">
        <v>227</v>
      </c>
      <c r="C10" s="85">
        <f>C8-C9</f>
        <v>72009.590899999996</v>
      </c>
      <c r="D10" s="85">
        <f t="shared" ref="D10:F10" si="2">D8-D9</f>
        <v>86842.219400000002</v>
      </c>
      <c r="E10" s="85">
        <f t="shared" si="2"/>
        <v>108532.47470000002</v>
      </c>
      <c r="F10" s="85">
        <f t="shared" si="2"/>
        <v>122670.08900000001</v>
      </c>
      <c r="G10" s="85"/>
      <c r="H10" s="85">
        <f t="shared" ref="H10" si="3">H8-H9</f>
        <v>140931.53090000004</v>
      </c>
      <c r="I10" s="85">
        <f t="shared" ref="I10" si="4">I8-I9</f>
        <v>158298.70585999993</v>
      </c>
      <c r="J10" s="85">
        <f t="shared" ref="J10" si="5">J8-J9</f>
        <v>175665.88081999996</v>
      </c>
      <c r="K10" s="85">
        <f t="shared" ref="K10" si="6">K8-K9</f>
        <v>193033.05577999994</v>
      </c>
      <c r="L10" s="85">
        <f t="shared" ref="L10" si="7">L8-L9</f>
        <v>210400.23074000003</v>
      </c>
    </row>
    <row r="11" spans="1:13" ht="16.2" x14ac:dyDescent="0.3">
      <c r="B11" t="s">
        <v>230</v>
      </c>
      <c r="C11" s="29">
        <f>IFERROR('P&amp;L Raw Data'!C5/10000,0)</f>
        <v>29509.900399999999</v>
      </c>
      <c r="D11" s="29">
        <f>IFERROR('P&amp;L Raw Data'!D5/10000,0)</f>
        <v>31214.825099999998</v>
      </c>
      <c r="E11" s="29">
        <f>IFERROR('P&amp;L Raw Data'!E5/10000,0)</f>
        <v>49240.999400000001</v>
      </c>
      <c r="F11" s="29">
        <f>IFERROR('P&amp;L Raw Data'!F5/10000,0)</f>
        <v>45632.281799999997</v>
      </c>
      <c r="G11" s="29"/>
      <c r="H11" s="29">
        <f>FORECAST(H$5,$C11:$F11,$C$5:$F$5)</f>
        <v>55497.831299999998</v>
      </c>
      <c r="I11" s="29">
        <f t="shared" ref="I11:L12" si="8">FORECAST(I$5,$C11:$F11,$C$5:$F$5)</f>
        <v>62137.16315</v>
      </c>
      <c r="J11" s="29">
        <f t="shared" si="8"/>
        <v>68776.494999999995</v>
      </c>
      <c r="K11" s="29">
        <f t="shared" si="8"/>
        <v>75415.826849999998</v>
      </c>
      <c r="L11" s="29">
        <f t="shared" si="8"/>
        <v>82055.1587</v>
      </c>
    </row>
    <row r="12" spans="1:13" ht="16.2" x14ac:dyDescent="0.3">
      <c r="B12" s="86" t="s">
        <v>228</v>
      </c>
      <c r="C12" s="87">
        <f>SUM(C10:C11)</f>
        <v>101519.49129999999</v>
      </c>
      <c r="D12" s="87">
        <f t="shared" ref="D12:F12" si="9">SUM(D10:D11)</f>
        <v>118057.0445</v>
      </c>
      <c r="E12" s="87">
        <f t="shared" si="9"/>
        <v>157773.47410000002</v>
      </c>
      <c r="F12" s="87">
        <f t="shared" si="9"/>
        <v>168302.3708</v>
      </c>
      <c r="G12" s="87"/>
      <c r="H12" s="87">
        <f>FORECAST(H$5,$C12:$F12,$C$5:$F$5)</f>
        <v>196429.36220000003</v>
      </c>
      <c r="I12" s="87">
        <f t="shared" si="8"/>
        <v>220435.86901000005</v>
      </c>
      <c r="J12" s="87">
        <f t="shared" si="8"/>
        <v>244442.37582000007</v>
      </c>
      <c r="K12" s="87">
        <f t="shared" si="8"/>
        <v>268448.88263000007</v>
      </c>
      <c r="L12" s="87">
        <f t="shared" si="8"/>
        <v>292455.38944000006</v>
      </c>
    </row>
    <row r="13" spans="1:13" x14ac:dyDescent="0.3">
      <c r="B13" s="40" t="s">
        <v>26</v>
      </c>
      <c r="C13" s="75">
        <f>SUM(C8,C11)</f>
        <v>157263.01949999999</v>
      </c>
      <c r="D13" s="75">
        <f>SUM(D8,D11)</f>
        <v>192800.36179999998</v>
      </c>
      <c r="E13" s="75">
        <f>SUM(E8,E11)</f>
        <v>307581.57490000001</v>
      </c>
      <c r="F13" s="75">
        <f>SUM(F8,F11)</f>
        <v>346149.3235</v>
      </c>
      <c r="G13" s="75"/>
      <c r="H13" s="75">
        <f>SUM(H8,H11)</f>
        <v>421308.60120000003</v>
      </c>
      <c r="I13" s="75">
        <f t="shared" ref="I13" si="10">SUM(I8,I11)</f>
        <v>489452.61370999995</v>
      </c>
      <c r="J13" s="75">
        <f t="shared" ref="J13" si="11">SUM(J8,J11)</f>
        <v>557596.62621999998</v>
      </c>
      <c r="K13" s="75">
        <f t="shared" ref="K13" si="12">SUM(K8,K11)</f>
        <v>625740.63872999989</v>
      </c>
      <c r="L13" s="75">
        <f t="shared" ref="L13" si="13">SUM(L8,L11)</f>
        <v>693884.65124000004</v>
      </c>
    </row>
    <row r="14" spans="1:13" x14ac:dyDescent="0.3">
      <c r="C14" s="30"/>
      <c r="D14" s="30"/>
      <c r="E14" s="30"/>
      <c r="F14" s="30"/>
      <c r="G14" s="30"/>
      <c r="H14" s="29"/>
      <c r="I14" s="29"/>
      <c r="J14" s="29"/>
      <c r="K14" s="29"/>
      <c r="L14" s="29"/>
      <c r="M14" s="30"/>
    </row>
    <row r="15" spans="1:13" x14ac:dyDescent="0.3">
      <c r="B15" s="2" t="s">
        <v>145</v>
      </c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</row>
    <row r="16" spans="1:13" x14ac:dyDescent="0.3">
      <c r="B16" t="s">
        <v>165</v>
      </c>
      <c r="C16" s="29">
        <f>IFERROR('P&amp;L Raw Data'!C8/10000,0)</f>
        <v>55743.528200000001</v>
      </c>
      <c r="D16" s="29">
        <f>IFERROR('P&amp;L Raw Data'!D8/10000,0)</f>
        <v>74743.317299999995</v>
      </c>
      <c r="E16" s="29">
        <f>IFERROR('P&amp;L Raw Data'!E8/10000,0)</f>
        <v>149808.10079999999</v>
      </c>
      <c r="F16" s="29">
        <f>IFERROR('P&amp;L Raw Data'!F8/10000,0)</f>
        <v>177846.95269999999</v>
      </c>
      <c r="G16" s="29"/>
      <c r="H16" s="29">
        <f>FORECAST(H$5,$C16:$F16,$C$5:$F$5)</f>
        <v>224879.23899999997</v>
      </c>
      <c r="I16" s="29">
        <f>FORECAST(I$5,$C16:$F16,$C$5:$F$5)</f>
        <v>269016.74470000004</v>
      </c>
      <c r="J16" s="29">
        <f t="shared" ref="J16:L16" si="14">FORECAST(J$5,$C16:$F16,$C$5:$F$5)</f>
        <v>313154.25040000002</v>
      </c>
      <c r="K16" s="29">
        <f t="shared" si="14"/>
        <v>357291.7561</v>
      </c>
      <c r="L16" s="29">
        <f t="shared" si="14"/>
        <v>401429.26179999998</v>
      </c>
      <c r="M16" s="29"/>
    </row>
    <row r="17" spans="2:13" x14ac:dyDescent="0.3">
      <c r="B17" t="s">
        <v>151</v>
      </c>
      <c r="C17" s="29">
        <f>IFERROR('P&amp;L Raw Data'!C9/10000,0)</f>
        <v>37442.185799999999</v>
      </c>
      <c r="D17" s="29">
        <f>IFERROR('P&amp;L Raw Data'!D9/10000,0)</f>
        <v>47652.0844</v>
      </c>
      <c r="E17" s="29">
        <f>IFERROR('P&amp;L Raw Data'!E9/10000,0)</f>
        <v>63386.023999999998</v>
      </c>
      <c r="F17" s="29">
        <f>IFERROR('P&amp;L Raw Data'!F9/10000,0)</f>
        <v>68174.881999999998</v>
      </c>
      <c r="G17" s="29"/>
      <c r="H17" s="29">
        <f t="shared" ref="H17:L25" si="15">FORECAST(H$5,$C17:$F17,$C$5:$F$5)</f>
        <v>81146.801099999997</v>
      </c>
      <c r="I17" s="29">
        <f t="shared" si="15"/>
        <v>91940.003919999988</v>
      </c>
      <c r="J17" s="29">
        <f t="shared" si="15"/>
        <v>102733.20673999998</v>
      </c>
      <c r="K17" s="29">
        <f t="shared" si="15"/>
        <v>113526.40955999999</v>
      </c>
      <c r="L17" s="29">
        <f t="shared" si="15"/>
        <v>124319.61237999999</v>
      </c>
    </row>
    <row r="18" spans="2:13" x14ac:dyDescent="0.3">
      <c r="B18" t="s">
        <v>152</v>
      </c>
      <c r="C18" s="29">
        <f>IFERROR('P&amp;L Raw Data'!C10/10000,0)</f>
        <v>27115.9503</v>
      </c>
      <c r="D18" s="29">
        <f>IFERROR('P&amp;L Raw Data'!D10/10000,0)</f>
        <v>26296.258699999998</v>
      </c>
      <c r="E18" s="29">
        <f>IFERROR('P&amp;L Raw Data'!E10/10000,0)</f>
        <v>33575.171600000001</v>
      </c>
      <c r="F18" s="29">
        <f>IFERROR('P&amp;L Raw Data'!F10/10000,0)</f>
        <v>32780.130700000002</v>
      </c>
      <c r="G18" s="29"/>
      <c r="H18" s="29">
        <f t="shared" si="15"/>
        <v>36009.741350000004</v>
      </c>
      <c r="I18" s="29">
        <f t="shared" si="15"/>
        <v>38436.886760000009</v>
      </c>
      <c r="J18" s="29">
        <f t="shared" si="15"/>
        <v>40864.032170000006</v>
      </c>
      <c r="K18" s="29">
        <f t="shared" si="15"/>
        <v>43291.177580000003</v>
      </c>
      <c r="L18" s="29">
        <f t="shared" si="15"/>
        <v>45718.322990000008</v>
      </c>
    </row>
    <row r="19" spans="2:13" x14ac:dyDescent="0.3">
      <c r="B19" s="40" t="s">
        <v>141</v>
      </c>
      <c r="C19" s="75">
        <f>SUM(C16:C18)</f>
        <v>120301.6643</v>
      </c>
      <c r="D19" s="75">
        <f>SUM(D16:D18)</f>
        <v>148691.66039999999</v>
      </c>
      <c r="E19" s="75">
        <f>SUM(E16:E18)</f>
        <v>246769.29639999999</v>
      </c>
      <c r="F19" s="75">
        <f>SUM(F16:F18)</f>
        <v>278801.96539999999</v>
      </c>
      <c r="G19" s="75"/>
      <c r="H19" s="75">
        <f t="shared" si="15"/>
        <v>342035.78145000001</v>
      </c>
      <c r="I19" s="75">
        <f t="shared" si="15"/>
        <v>399393.63537999999</v>
      </c>
      <c r="J19" s="75">
        <f t="shared" si="15"/>
        <v>456751.48930999998</v>
      </c>
      <c r="K19" s="75">
        <f t="shared" si="15"/>
        <v>514109.34323999996</v>
      </c>
      <c r="L19" s="75">
        <f t="shared" si="15"/>
        <v>571467.19716999994</v>
      </c>
    </row>
    <row r="20" spans="2:13" x14ac:dyDescent="0.3">
      <c r="B20" s="2"/>
      <c r="C20" s="30"/>
      <c r="D20" s="30"/>
      <c r="E20" s="30"/>
      <c r="F20" s="30"/>
      <c r="G20" s="30"/>
      <c r="H20" s="30"/>
      <c r="I20" s="30"/>
      <c r="J20" s="30"/>
      <c r="K20" s="30"/>
      <c r="L20" s="30"/>
    </row>
    <row r="21" spans="2:13" x14ac:dyDescent="0.3">
      <c r="B21" s="2" t="s">
        <v>146</v>
      </c>
      <c r="C21" s="29"/>
      <c r="D21" s="29"/>
      <c r="E21" s="29"/>
      <c r="F21" s="29"/>
      <c r="G21" s="29"/>
      <c r="H21" s="29"/>
      <c r="I21" s="29"/>
      <c r="J21" s="29"/>
      <c r="K21" s="29"/>
      <c r="L21" s="29"/>
    </row>
    <row r="22" spans="2:13" x14ac:dyDescent="0.3">
      <c r="B22" t="s">
        <v>153</v>
      </c>
      <c r="C22" s="29">
        <f>IFERROR('P&amp;L Raw Data'!C13/10000,0)</f>
        <v>36961.355199999998</v>
      </c>
      <c r="D22" s="29">
        <f>IFERROR('P&amp;L Raw Data'!D13/10000,0)</f>
        <v>44108.701399999998</v>
      </c>
      <c r="E22" s="29">
        <f>IFERROR('P&amp;L Raw Data'!E13/10000,0)</f>
        <v>60812.2785</v>
      </c>
      <c r="F22" s="29">
        <f>IFERROR('P&amp;L Raw Data'!F13/10000,0)</f>
        <v>67347.358099999998</v>
      </c>
      <c r="G22" s="29"/>
      <c r="H22" s="29">
        <f t="shared" si="15"/>
        <v>79272.819749999995</v>
      </c>
      <c r="I22" s="29">
        <f t="shared" si="15"/>
        <v>90058.978329999984</v>
      </c>
      <c r="J22" s="29">
        <f t="shared" si="15"/>
        <v>100845.13690999999</v>
      </c>
      <c r="K22" s="29">
        <f t="shared" si="15"/>
        <v>111631.29548999999</v>
      </c>
      <c r="L22" s="29">
        <f t="shared" si="15"/>
        <v>122417.45406999999</v>
      </c>
      <c r="M22" s="29"/>
    </row>
    <row r="23" spans="2:13" x14ac:dyDescent="0.3">
      <c r="B23" t="s">
        <v>154</v>
      </c>
      <c r="C23" s="29">
        <f>IFERROR('P&amp;L Raw Data'!C14/10000,0)</f>
        <v>73652.794699999999</v>
      </c>
      <c r="D23" s="29">
        <f>IFERROR('P&amp;L Raw Data'!D14/10000,0)</f>
        <v>93185.674299999999</v>
      </c>
      <c r="E23" s="29">
        <f>IFERROR('P&amp;L Raw Data'!E14/10000,0)</f>
        <v>112959.9963</v>
      </c>
      <c r="F23" s="29">
        <f>IFERROR('P&amp;L Raw Data'!F14/10000,0)</f>
        <v>139579.83059999999</v>
      </c>
      <c r="G23" s="29"/>
      <c r="H23" s="29">
        <f t="shared" si="15"/>
        <v>159233.4314</v>
      </c>
      <c r="I23" s="29">
        <f t="shared" si="15"/>
        <v>180988.97437000001</v>
      </c>
      <c r="J23" s="29">
        <f t="shared" si="15"/>
        <v>202744.51733999996</v>
      </c>
      <c r="K23" s="29">
        <f t="shared" si="15"/>
        <v>224500.06030999997</v>
      </c>
      <c r="L23" s="29">
        <f t="shared" si="15"/>
        <v>246255.60327999998</v>
      </c>
      <c r="M23" s="29"/>
    </row>
    <row r="24" spans="2:13" x14ac:dyDescent="0.3">
      <c r="B24" t="s">
        <v>155</v>
      </c>
      <c r="C24" s="29">
        <f>IFERROR('P&amp;L Raw Data'!C15/10000,0)</f>
        <v>0</v>
      </c>
      <c r="D24" s="29">
        <f>IFERROR('P&amp;L Raw Data'!D15/10000,0)</f>
        <v>0</v>
      </c>
      <c r="E24" s="29">
        <f>IFERROR('P&amp;L Raw Data'!E15/10000,0)</f>
        <v>3570.1097</v>
      </c>
      <c r="F24" s="29">
        <f>IFERROR('P&amp;L Raw Data'!F15/10000,0)</f>
        <v>0</v>
      </c>
      <c r="G24" s="29"/>
      <c r="H24" s="29">
        <f>IFERROR('P&amp;L Raw Data'!G15/10000,0)</f>
        <v>0</v>
      </c>
      <c r="I24" s="29">
        <f>IFERROR('P&amp;L Raw Data'!H15/10000,0)</f>
        <v>0</v>
      </c>
      <c r="J24" s="29">
        <f>IFERROR('P&amp;L Raw Data'!I15/10000,0)</f>
        <v>0</v>
      </c>
      <c r="K24" s="29">
        <f>IFERROR('P&amp;L Raw Data'!J15/10000,0)</f>
        <v>0</v>
      </c>
      <c r="L24" s="29">
        <f>IFERROR('P&amp;L Raw Data'!K15/10000,0)</f>
        <v>0</v>
      </c>
      <c r="M24" s="29"/>
    </row>
    <row r="25" spans="2:13" x14ac:dyDescent="0.3">
      <c r="B25" s="40" t="s">
        <v>134</v>
      </c>
      <c r="C25" s="75">
        <f>SUM(C22:C24)</f>
        <v>110614.14989999999</v>
      </c>
      <c r="D25" s="75">
        <f t="shared" ref="D25:F25" si="16">SUM(D22:D24)</f>
        <v>137294.3757</v>
      </c>
      <c r="E25" s="75">
        <f t="shared" si="16"/>
        <v>177342.38450000001</v>
      </c>
      <c r="F25" s="75">
        <f t="shared" si="16"/>
        <v>206927.1887</v>
      </c>
      <c r="G25" s="75"/>
      <c r="H25" s="75">
        <f t="shared" si="15"/>
        <v>240291.30600000001</v>
      </c>
      <c r="I25" s="75">
        <f t="shared" si="15"/>
        <v>273190.01852000004</v>
      </c>
      <c r="J25" s="75">
        <f t="shared" si="15"/>
        <v>306088.73103999998</v>
      </c>
      <c r="K25" s="75">
        <f t="shared" si="15"/>
        <v>338987.44356000004</v>
      </c>
      <c r="L25" s="75">
        <f t="shared" si="15"/>
        <v>371886.15607999999</v>
      </c>
      <c r="M25" s="29"/>
    </row>
    <row r="26" spans="2:13" x14ac:dyDescent="0.3">
      <c r="B26" s="2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29"/>
    </row>
    <row r="27" spans="2:13" x14ac:dyDescent="0.3">
      <c r="B27" s="2" t="s">
        <v>224</v>
      </c>
      <c r="C27" s="29"/>
      <c r="D27" s="29"/>
      <c r="E27" s="29"/>
      <c r="F27" s="29"/>
      <c r="G27" s="29"/>
      <c r="H27" s="91"/>
      <c r="I27" s="91"/>
      <c r="J27" s="91"/>
      <c r="K27" s="91"/>
      <c r="L27" s="91"/>
    </row>
    <row r="28" spans="2:13" x14ac:dyDescent="0.3">
      <c r="B28" t="s">
        <v>222</v>
      </c>
      <c r="C28" s="29">
        <f>IFERROR(Assumptions!C30/10000000,0)</f>
        <v>553.32035659999997</v>
      </c>
      <c r="D28" s="29">
        <f>IFERROR(Assumptions!D30/10000000,0)</f>
        <v>556.57142650000003</v>
      </c>
      <c r="E28" s="29">
        <f>IFERROR(Assumptions!E30/10000000,0)</f>
        <v>708.48074429999997</v>
      </c>
      <c r="F28" s="29">
        <f>IFERROR(Assumptions!F30/10000000,0)</f>
        <v>762.77931799999999</v>
      </c>
      <c r="G28" s="29"/>
      <c r="H28" s="29">
        <f t="shared" ref="H28:L29" si="17">FORECAST(H$5,$C28:$F28,$C$5:$F$5)</f>
        <v>840.35951184999999</v>
      </c>
      <c r="I28" s="29">
        <f t="shared" si="17"/>
        <v>918.38813204999997</v>
      </c>
      <c r="J28" s="29">
        <f t="shared" si="17"/>
        <v>996.41675224999994</v>
      </c>
      <c r="K28" s="29">
        <f t="shared" si="17"/>
        <v>1074.4453724499999</v>
      </c>
      <c r="L28" s="29">
        <f t="shared" si="17"/>
        <v>1152.4739926499999</v>
      </c>
    </row>
    <row r="29" spans="2:13" x14ac:dyDescent="0.3">
      <c r="B29" t="s">
        <v>223</v>
      </c>
      <c r="C29" s="29">
        <f>IFERROR(Assumptions!C32/10000000,0)</f>
        <v>557.09339850000003</v>
      </c>
      <c r="D29" s="29">
        <f>IFERROR(Assumptions!D32/10000000,0)</f>
        <v>559.11836559999995</v>
      </c>
      <c r="E29" s="29">
        <f>IFERROR(Assumptions!E32/10000000,0)</f>
        <v>711.72531500000002</v>
      </c>
      <c r="F29" s="29">
        <f>IFERROR(Assumptions!F32/10000000,0)</f>
        <v>766.19705710000005</v>
      </c>
      <c r="G29" s="29"/>
      <c r="H29" s="29">
        <f t="shared" si="17"/>
        <v>843.51301535000016</v>
      </c>
      <c r="I29" s="29">
        <f t="shared" si="17"/>
        <v>921.50480787000015</v>
      </c>
      <c r="J29" s="29">
        <f t="shared" si="17"/>
        <v>999.49660039000014</v>
      </c>
      <c r="K29" s="29">
        <f t="shared" si="17"/>
        <v>1077.4883929100001</v>
      </c>
      <c r="L29" s="29">
        <f t="shared" si="17"/>
        <v>1155.4801854300001</v>
      </c>
    </row>
    <row r="30" spans="2:13" x14ac:dyDescent="0.3">
      <c r="B30" s="33" t="s">
        <v>162</v>
      </c>
      <c r="C30" s="32">
        <f>IFERROR(C$22/C28,0)</f>
        <v>66.799196449444352</v>
      </c>
      <c r="D30" s="32">
        <f t="shared" ref="D30:F30" si="18">IFERROR(D$22/D28,0)</f>
        <v>79.250747163535891</v>
      </c>
      <c r="E30" s="32">
        <f t="shared" si="18"/>
        <v>85.834765431888115</v>
      </c>
      <c r="F30" s="32">
        <f t="shared" si="18"/>
        <v>88.292061033568814</v>
      </c>
      <c r="G30" s="32"/>
      <c r="H30" s="32">
        <f>FORECAST(H$5,$C30:$F30,$C$5:$F$5)</f>
        <v>97.809845524790688</v>
      </c>
      <c r="I30" s="32">
        <f t="shared" ref="I30:L31" si="19">FORECAST(I$5,$C30:$F30,$C$5:$F$5)</f>
        <v>104.91610672686326</v>
      </c>
      <c r="J30" s="32">
        <f t="shared" si="19"/>
        <v>112.02236792893582</v>
      </c>
      <c r="K30" s="32">
        <f t="shared" si="19"/>
        <v>119.12862913100838</v>
      </c>
      <c r="L30" s="32">
        <f t="shared" si="19"/>
        <v>126.23489033308094</v>
      </c>
    </row>
    <row r="31" spans="2:13" x14ac:dyDescent="0.3">
      <c r="B31" s="77" t="s">
        <v>163</v>
      </c>
      <c r="C31" s="78">
        <f>IFERROR(C$22/C29,0)</f>
        <v>66.346783680295204</v>
      </c>
      <c r="D31" s="78">
        <f t="shared" ref="D31:F31" si="20">IFERROR(D$22/D29,0)</f>
        <v>78.889738047982306</v>
      </c>
      <c r="E31" s="78">
        <f t="shared" si="20"/>
        <v>85.443467048800983</v>
      </c>
      <c r="F31" s="78">
        <f t="shared" si="20"/>
        <v>87.89822079832156</v>
      </c>
      <c r="G31" s="78"/>
      <c r="H31" s="78">
        <f>FORECAST(H$5,$C31:$F31,$C$5:$F$5)</f>
        <v>97.44656248257445</v>
      </c>
      <c r="I31" s="78">
        <f t="shared" si="19"/>
        <v>104.56736651806423</v>
      </c>
      <c r="J31" s="78">
        <f t="shared" si="19"/>
        <v>111.688170553554</v>
      </c>
      <c r="K31" s="78">
        <f t="shared" si="19"/>
        <v>118.80897458904377</v>
      </c>
      <c r="L31" s="78">
        <f t="shared" si="19"/>
        <v>125.92977862453355</v>
      </c>
    </row>
    <row r="32" spans="2:13" x14ac:dyDescent="0.3">
      <c r="H32" s="29"/>
      <c r="I32" s="29"/>
      <c r="J32" s="29"/>
      <c r="K32" s="29"/>
      <c r="L32" s="29"/>
    </row>
    <row r="33" spans="1:13" x14ac:dyDescent="0.3">
      <c r="H33" s="29"/>
      <c r="I33" s="29"/>
      <c r="J33" s="29"/>
      <c r="K33" s="29"/>
      <c r="L33" s="29"/>
    </row>
    <row r="34" spans="1:13" x14ac:dyDescent="0.3">
      <c r="A34" t="s">
        <v>93</v>
      </c>
      <c r="B34" s="26" t="s">
        <v>96</v>
      </c>
      <c r="C34" s="27"/>
      <c r="D34" s="27"/>
      <c r="E34" s="27"/>
      <c r="F34" s="27"/>
      <c r="G34" s="27"/>
      <c r="H34" s="27"/>
      <c r="I34" s="27"/>
      <c r="J34" s="27"/>
      <c r="K34" s="27"/>
      <c r="L34" s="27"/>
    </row>
    <row r="35" spans="1:13" x14ac:dyDescent="0.3">
      <c r="B35" s="2" t="s">
        <v>126</v>
      </c>
      <c r="C35" s="29"/>
      <c r="D35" s="29"/>
      <c r="E35" s="29"/>
      <c r="F35" s="29"/>
      <c r="G35" s="29"/>
      <c r="H35" s="29"/>
      <c r="I35" s="29"/>
      <c r="J35" s="29"/>
      <c r="K35" s="29"/>
      <c r="L35" s="29"/>
    </row>
    <row r="36" spans="1:13" x14ac:dyDescent="0.3">
      <c r="B36" t="s">
        <v>128</v>
      </c>
      <c r="C36" s="29">
        <f>IFERROR('Balance Sheet Raw Data'!C4/10000,0)</f>
        <v>554.55409999999995</v>
      </c>
      <c r="D36" s="29">
        <f>IFERROR('Balance Sheet Raw Data'!D4/10000,0)</f>
        <v>557.97429999999997</v>
      </c>
      <c r="E36" s="29">
        <f>IFERROR('Balance Sheet Raw Data'!E4/10000,0)</f>
        <v>759.69110000000001</v>
      </c>
      <c r="F36" s="29">
        <f>IFERROR('Balance Sheet Raw Data'!F4/10000,0)</f>
        <v>765.22220000000004</v>
      </c>
      <c r="G36" s="29"/>
      <c r="H36" s="29">
        <f t="shared" ref="H36:L36" si="21">FORECAST(H$5,$C36:$F36,$C$5:$F$5)</f>
        <v>867.79070000000002</v>
      </c>
      <c r="I36" s="29">
        <f t="shared" si="21"/>
        <v>951.16281000000015</v>
      </c>
      <c r="J36" s="29">
        <f t="shared" si="21"/>
        <v>1034.5349200000001</v>
      </c>
      <c r="K36" s="29">
        <f t="shared" si="21"/>
        <v>1117.9070300000003</v>
      </c>
      <c r="L36" s="29">
        <f t="shared" si="21"/>
        <v>1201.2791400000001</v>
      </c>
    </row>
    <row r="37" spans="1:13" x14ac:dyDescent="0.3">
      <c r="B37" t="s">
        <v>129</v>
      </c>
      <c r="C37" s="29">
        <f>IFERROR(SUM('Balance Sheet Raw Data'!C5:C6)/10000,0)</f>
        <v>239538.38459999999</v>
      </c>
      <c r="D37" s="29">
        <f>IFERROR(SUM('Balance Sheet Raw Data'!D5:D6)/10000,0)</f>
        <v>279641.03340000001</v>
      </c>
      <c r="E37" s="29">
        <f>IFERROR(SUM('Balance Sheet Raw Data'!E5:E6)/10000,0)</f>
        <v>439486.114</v>
      </c>
      <c r="F37" s="29">
        <f>IFERROR(SUM('Balance Sheet Raw Data'!F5:F6)/10000,0)</f>
        <v>500659.41729999997</v>
      </c>
      <c r="G37" s="29"/>
      <c r="H37" s="29">
        <f>FORECAST(H$5,$C37:$F37,$C$5:$F$5)</f>
        <v>600633.28200000001</v>
      </c>
      <c r="I37" s="29">
        <f>FORECAST(I$5,$C37:$F37,$C$5:$F$5)</f>
        <v>694954.09986999992</v>
      </c>
      <c r="J37" s="29">
        <f>FORECAST(J$5,$C37:$F37,$C$5:$F$5)</f>
        <v>789274.91773999995</v>
      </c>
      <c r="K37" s="29">
        <f>FORECAST(K$5,$C37:$F37,$C$5:$F$5)</f>
        <v>883595.73560999997</v>
      </c>
      <c r="L37" s="29">
        <f>FORECAST(L$5,$C37:$F37,$C$5:$F$5)</f>
        <v>977916.55348</v>
      </c>
    </row>
    <row r="38" spans="1:13" x14ac:dyDescent="0.3">
      <c r="B38" s="33" t="s">
        <v>232</v>
      </c>
      <c r="C38" s="32">
        <f>SUM(C36:C37)</f>
        <v>240092.9387</v>
      </c>
      <c r="D38" s="32">
        <f>SUM(D36:D37)</f>
        <v>280199.00770000002</v>
      </c>
      <c r="E38" s="32">
        <f>SUM(E36:E37)</f>
        <v>440245.8051</v>
      </c>
      <c r="F38" s="32">
        <f>SUM(F36:F37)</f>
        <v>501424.63949999999</v>
      </c>
      <c r="G38" s="32"/>
      <c r="H38" s="32">
        <f>SUM(H36:H37)</f>
        <v>601501.07270000002</v>
      </c>
      <c r="I38" s="32">
        <f>SUM(I36:I37)</f>
        <v>695905.26267999993</v>
      </c>
      <c r="J38" s="32">
        <f>SUM(J36:J37)</f>
        <v>790309.45265999995</v>
      </c>
      <c r="K38" s="32">
        <f>SUM(K36:K37)</f>
        <v>884713.64263999998</v>
      </c>
      <c r="L38" s="32">
        <f>SUM(L36:L37)</f>
        <v>979117.83262</v>
      </c>
    </row>
    <row r="39" spans="1:13" x14ac:dyDescent="0.3">
      <c r="B39" t="s">
        <v>131</v>
      </c>
      <c r="C39" s="29">
        <f>IFERROR('Balance Sheet Raw Data'!C7/10000,0)</f>
        <v>1559217.44</v>
      </c>
      <c r="D39" s="29">
        <f>IFERROR('Balance Sheet Raw Data'!D7/10000,0)</f>
        <v>1883394.6462999999</v>
      </c>
      <c r="E39" s="29">
        <f>IFERROR('Balance Sheet Raw Data'!E7/10000,0)</f>
        <v>2379786.2763999999</v>
      </c>
      <c r="F39" s="29">
        <f>IFERROR('Balance Sheet Raw Data'!F7/10000,0)</f>
        <v>2714714.8958999999</v>
      </c>
      <c r="G39" s="29"/>
      <c r="H39" s="29">
        <f t="shared" ref="H39:L41" si="22">FORECAST(H$5,$C39:$F39,$C$5:$F$5)</f>
        <v>3124999.3141000001</v>
      </c>
      <c r="I39" s="29">
        <f t="shared" si="22"/>
        <v>3521287.7138799997</v>
      </c>
      <c r="J39" s="29">
        <f t="shared" si="22"/>
        <v>3917576.1136599998</v>
      </c>
      <c r="K39" s="29">
        <f t="shared" si="22"/>
        <v>4313864.5134399999</v>
      </c>
      <c r="L39" s="29">
        <f t="shared" si="22"/>
        <v>4710152.9132199995</v>
      </c>
    </row>
    <row r="40" spans="1:13" x14ac:dyDescent="0.3">
      <c r="B40" t="s">
        <v>132</v>
      </c>
      <c r="C40" s="29">
        <f>IFERROR('Balance Sheet Raw Data'!C8/10000,0)</f>
        <v>184817.20730000001</v>
      </c>
      <c r="D40" s="29">
        <f>IFERROR('Balance Sheet Raw Data'!D8/10000,0)</f>
        <v>206765.5655</v>
      </c>
      <c r="E40" s="29">
        <f>IFERROR('Balance Sheet Raw Data'!E8/10000,0)</f>
        <v>662153.07510000002</v>
      </c>
      <c r="F40" s="29">
        <f>IFERROR('Balance Sheet Raw Data'!F8/10000,0)</f>
        <v>547930.89260000002</v>
      </c>
      <c r="G40" s="29"/>
      <c r="H40" s="29">
        <f t="shared" si="22"/>
        <v>786598.82649999997</v>
      </c>
      <c r="I40" s="29">
        <f t="shared" si="22"/>
        <v>941071.68304999988</v>
      </c>
      <c r="J40" s="29">
        <f t="shared" si="22"/>
        <v>1095544.5396</v>
      </c>
      <c r="K40" s="29">
        <f t="shared" si="22"/>
        <v>1250017.3961499999</v>
      </c>
      <c r="L40" s="29">
        <f t="shared" si="22"/>
        <v>1404490.2526999998</v>
      </c>
    </row>
    <row r="41" spans="1:13" x14ac:dyDescent="0.3">
      <c r="B41" t="s">
        <v>133</v>
      </c>
      <c r="C41" s="29">
        <f>IFERROR('Balance Sheet Raw Data'!C9/10000,0)</f>
        <v>84407.464300000007</v>
      </c>
      <c r="D41" s="29">
        <f>IFERROR('Balance Sheet Raw Data'!D9/10000,0)</f>
        <v>95722.247700000007</v>
      </c>
      <c r="E41" s="29">
        <f>IFERROR('Balance Sheet Raw Data'!E9/10000,0)</f>
        <v>135437.93030000001</v>
      </c>
      <c r="F41" s="29">
        <f>IFERROR('Balance Sheet Raw Data'!F9/10000,0)</f>
        <v>146128.5166</v>
      </c>
      <c r="G41" s="29"/>
      <c r="H41" s="29">
        <f t="shared" si="22"/>
        <v>171643.74960000001</v>
      </c>
      <c r="I41" s="29">
        <f t="shared" si="22"/>
        <v>194131.63355</v>
      </c>
      <c r="J41" s="29">
        <f t="shared" si="22"/>
        <v>216619.51750000002</v>
      </c>
      <c r="K41" s="29">
        <f t="shared" si="22"/>
        <v>239107.40145</v>
      </c>
      <c r="L41" s="29">
        <f t="shared" si="22"/>
        <v>261595.28539999999</v>
      </c>
    </row>
    <row r="42" spans="1:13" x14ac:dyDescent="0.3">
      <c r="B42" s="40" t="s">
        <v>231</v>
      </c>
      <c r="C42" s="75">
        <f>SUM(C38:C41)</f>
        <v>2068535.0503000002</v>
      </c>
      <c r="D42" s="75">
        <f t="shared" ref="D42:L42" si="23">SUM(D38:D41)</f>
        <v>2466081.4672000003</v>
      </c>
      <c r="E42" s="75">
        <f t="shared" si="23"/>
        <v>3617623.0869</v>
      </c>
      <c r="F42" s="75">
        <f t="shared" si="23"/>
        <v>3910198.9446</v>
      </c>
      <c r="G42" s="75"/>
      <c r="H42" s="75">
        <f t="shared" si="23"/>
        <v>4684742.9628999997</v>
      </c>
      <c r="I42" s="75">
        <f t="shared" si="23"/>
        <v>5352396.2931599999</v>
      </c>
      <c r="J42" s="75">
        <f t="shared" si="23"/>
        <v>6020049.6234200001</v>
      </c>
      <c r="K42" s="75">
        <f t="shared" si="23"/>
        <v>6687702.9536800003</v>
      </c>
      <c r="L42" s="75">
        <f t="shared" si="23"/>
        <v>7355356.2839400005</v>
      </c>
      <c r="M42" s="30"/>
    </row>
    <row r="43" spans="1:13" x14ac:dyDescent="0.3"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</row>
    <row r="44" spans="1:13" x14ac:dyDescent="0.3">
      <c r="B44" s="2" t="s">
        <v>127</v>
      </c>
      <c r="C44" s="29"/>
      <c r="D44" s="29"/>
      <c r="E44" s="29"/>
      <c r="F44" s="29"/>
      <c r="G44" s="29"/>
      <c r="H44" s="29"/>
      <c r="I44" s="29"/>
      <c r="J44" s="29"/>
      <c r="K44" s="29"/>
      <c r="L44" s="29"/>
    </row>
    <row r="45" spans="1:13" x14ac:dyDescent="0.3">
      <c r="B45" t="s">
        <v>135</v>
      </c>
      <c r="C45" s="29">
        <f>IFERROR('Balance Sheet Raw Data'!C12/10000,0)</f>
        <v>129995.6352</v>
      </c>
      <c r="D45" s="29">
        <f>IFERROR('Balance Sheet Raw Data'!D12/10000,0)</f>
        <v>117160.7706</v>
      </c>
      <c r="E45" s="29">
        <f>IFERROR('Balance Sheet Raw Data'!E12/10000,0)</f>
        <v>178683.22279999999</v>
      </c>
      <c r="F45" s="29">
        <f>IFERROR('Balance Sheet Raw Data'!F12/10000,0)</f>
        <v>144355.02960000001</v>
      </c>
      <c r="G45" s="29"/>
      <c r="H45" s="29">
        <f>FORECAST(H$5,$C45:$F45,$C$5:$F$5)</f>
        <v>168698.82339999999</v>
      </c>
      <c r="I45" s="29">
        <f>FORECAST(I$5,$C45:$F45,$C$5:$F$5)</f>
        <v>179158.88693999997</v>
      </c>
      <c r="J45" s="29">
        <f t="shared" ref="J45:L45" si="24">FORECAST(J$5,$C45:$F45,$C$5:$F$5)</f>
        <v>189618.95047999997</v>
      </c>
      <c r="K45" s="29">
        <f t="shared" si="24"/>
        <v>200079.01401999997</v>
      </c>
      <c r="L45" s="29">
        <f t="shared" si="24"/>
        <v>210539.07755999998</v>
      </c>
      <c r="M45" s="29"/>
    </row>
    <row r="46" spans="1:13" x14ac:dyDescent="0.3">
      <c r="B46" t="s">
        <v>136</v>
      </c>
      <c r="C46" s="29">
        <f>IFERROR('Balance Sheet Raw Data'!C13/10000,0)</f>
        <v>22331.289199999999</v>
      </c>
      <c r="D46" s="29">
        <f>IFERROR('Balance Sheet Raw Data'!D13/10000,0)</f>
        <v>76604.3125</v>
      </c>
      <c r="E46" s="29">
        <f>IFERROR('Balance Sheet Raw Data'!E13/10000,0)</f>
        <v>40464.195299999999</v>
      </c>
      <c r="F46" s="29">
        <f>IFERROR('Balance Sheet Raw Data'!F13/10000,0)</f>
        <v>95215.641600000003</v>
      </c>
      <c r="G46" s="29"/>
      <c r="H46" s="29">
        <f>FORECAST(H$5,$C46:$F46,$C$5:$F$5)</f>
        <v>104282.09465</v>
      </c>
      <c r="I46" s="29">
        <f t="shared" ref="I46:L50" si="25">FORECAST(I$5,$C46:$F46,$C$5:$F$5)</f>
        <v>122533.38865000001</v>
      </c>
      <c r="J46" s="29">
        <f t="shared" si="25"/>
        <v>140784.68265000003</v>
      </c>
      <c r="K46" s="29">
        <f t="shared" si="25"/>
        <v>159035.97665000003</v>
      </c>
      <c r="L46" s="29">
        <f t="shared" si="25"/>
        <v>177287.27065000002</v>
      </c>
    </row>
    <row r="47" spans="1:13" x14ac:dyDescent="0.3">
      <c r="B47" t="s">
        <v>137</v>
      </c>
      <c r="C47" s="29">
        <f>IFERROR('Balance Sheet Raw Data'!C14/10000,0)</f>
        <v>455535.69300000003</v>
      </c>
      <c r="D47" s="29">
        <f>IFERROR('Balance Sheet Raw Data'!D14/10000,0)</f>
        <v>517001.42800000001</v>
      </c>
      <c r="E47" s="29">
        <f>IFERROR('Balance Sheet Raw Data'!E14/10000,0)</f>
        <v>702414.95869999996</v>
      </c>
      <c r="F47" s="29">
        <f>IFERROR('Balance Sheet Raw Data'!F14/10000,0)</f>
        <v>836359.67359999998</v>
      </c>
      <c r="G47" s="29"/>
      <c r="H47" s="29">
        <f>FORECAST(H$5,$C47:$F47,$C$5:$F$5)</f>
        <v>959799.30644999992</v>
      </c>
      <c r="I47" s="29">
        <f t="shared" si="25"/>
        <v>1092587.8536999999</v>
      </c>
      <c r="J47" s="29">
        <f t="shared" si="25"/>
        <v>1225376.4009499999</v>
      </c>
      <c r="K47" s="29">
        <f t="shared" si="25"/>
        <v>1358164.9482</v>
      </c>
      <c r="L47" s="29">
        <f t="shared" si="25"/>
        <v>1490953.4954499998</v>
      </c>
    </row>
    <row r="48" spans="1:13" x14ac:dyDescent="0.3">
      <c r="B48" t="s">
        <v>247</v>
      </c>
      <c r="C48" s="29">
        <f>IFERROR('Balance Sheet Raw Data'!C15/10000,0)</f>
        <v>1368820.9313999999</v>
      </c>
      <c r="D48" s="29">
        <f>IFERROR('Balance Sheet Raw Data'!D15/10000,0)</f>
        <v>1600585.9</v>
      </c>
      <c r="E48" s="29">
        <f>IFERROR('Balance Sheet Raw Data'!E15/10000,0)</f>
        <v>2484861.5188000002</v>
      </c>
      <c r="F48" s="29">
        <f>IFERROR('Balance Sheet Raw Data'!F15/10000,0)</f>
        <v>2619608.6170999999</v>
      </c>
      <c r="G48" s="29"/>
      <c r="H48" s="29">
        <f>FORECAST(H$5,$C48:$F48,$C$5:$F$5)</f>
        <v>3177628.9107999997</v>
      </c>
      <c r="I48" s="29">
        <f t="shared" si="25"/>
        <v>3641292.7783900006</v>
      </c>
      <c r="J48" s="29">
        <f t="shared" si="25"/>
        <v>4104956.6459800005</v>
      </c>
      <c r="K48" s="29">
        <f t="shared" si="25"/>
        <v>4568620.5135700004</v>
      </c>
      <c r="L48" s="29">
        <f t="shared" si="25"/>
        <v>5032284.3811600003</v>
      </c>
    </row>
    <row r="49" spans="1:16" x14ac:dyDescent="0.3">
      <c r="B49" t="s">
        <v>139</v>
      </c>
      <c r="C49" s="29">
        <f>IFERROR('Balance Sheet Raw Data'!C16/10000,0)</f>
        <v>6083.6734999999999</v>
      </c>
      <c r="D49" s="29">
        <f>IFERROR('Balance Sheet Raw Data'!D16/10000,0)</f>
        <v>8016.5410000000002</v>
      </c>
      <c r="E49" s="29">
        <f>IFERROR('Balance Sheet Raw Data'!E16/10000,0)</f>
        <v>11398.987800000001</v>
      </c>
      <c r="F49" s="29">
        <f>IFERROR('Balance Sheet Raw Data'!F16/10000,0)</f>
        <v>13655.3987</v>
      </c>
      <c r="G49" s="29"/>
      <c r="H49" s="29">
        <f>FORECAST(H$5,$C49:$F49,$C$5:$F$5)</f>
        <v>16313.055850000001</v>
      </c>
      <c r="I49" s="29">
        <f t="shared" si="25"/>
        <v>18922.818090000001</v>
      </c>
      <c r="J49" s="29">
        <f t="shared" si="25"/>
        <v>21532.580330000001</v>
      </c>
      <c r="K49" s="29">
        <f t="shared" si="25"/>
        <v>24142.342570000001</v>
      </c>
      <c r="L49" s="29">
        <f t="shared" si="25"/>
        <v>26752.104810000001</v>
      </c>
    </row>
    <row r="50" spans="1:16" x14ac:dyDescent="0.3">
      <c r="B50" t="s">
        <v>140</v>
      </c>
      <c r="C50" s="29">
        <f>IFERROR('Balance Sheet Raw Data'!C17/10000,0)</f>
        <v>85767.827999999994</v>
      </c>
      <c r="D50" s="29">
        <f>IFERROR('Balance Sheet Raw Data'!D17/10000,0)</f>
        <v>146712.51509999999</v>
      </c>
      <c r="E50" s="29">
        <f>IFERROR('Balance Sheet Raw Data'!E17/10000,0)</f>
        <v>199800.2035</v>
      </c>
      <c r="F50" s="29">
        <f>IFERROR('Balance Sheet Raw Data'!F17/10000,0)</f>
        <v>201004.584</v>
      </c>
      <c r="G50" s="29"/>
      <c r="H50" s="29">
        <f>FORECAST(H$5,$C50:$F50,$C$5:$F$5)</f>
        <v>258020.77175000001</v>
      </c>
      <c r="I50" s="29">
        <f t="shared" si="25"/>
        <v>297900.56739000004</v>
      </c>
      <c r="J50" s="29">
        <f t="shared" si="25"/>
        <v>337780.36303000001</v>
      </c>
      <c r="K50" s="29">
        <f t="shared" si="25"/>
        <v>377660.15867000003</v>
      </c>
      <c r="L50" s="29">
        <f t="shared" si="25"/>
        <v>417539.95431000006</v>
      </c>
    </row>
    <row r="51" spans="1:16" x14ac:dyDescent="0.3">
      <c r="B51" s="40" t="s">
        <v>98</v>
      </c>
      <c r="C51" s="75">
        <f>SUM(C45:C50)</f>
        <v>2068535.0503</v>
      </c>
      <c r="D51" s="75">
        <f t="shared" ref="D51:F51" si="26">SUM(D45:D50)</f>
        <v>2466081.4672000003</v>
      </c>
      <c r="E51" s="75">
        <f t="shared" si="26"/>
        <v>3617623.0869</v>
      </c>
      <c r="F51" s="75">
        <f t="shared" si="26"/>
        <v>3910198.9445999996</v>
      </c>
      <c r="G51" s="75"/>
      <c r="H51" s="75">
        <f t="shared" ref="H51" si="27">SUM(H45:H50)</f>
        <v>4684742.9628999997</v>
      </c>
      <c r="I51" s="75">
        <f t="shared" ref="I51" si="28">SUM(I45:I50)</f>
        <v>5352396.2931600008</v>
      </c>
      <c r="J51" s="75">
        <f t="shared" ref="J51" si="29">SUM(J45:J50)</f>
        <v>6020049.6234200001</v>
      </c>
      <c r="K51" s="75">
        <f t="shared" ref="K51" si="30">SUM(K45:K50)</f>
        <v>6687702.9536800003</v>
      </c>
      <c r="L51" s="75">
        <f t="shared" ref="L51" si="31">SUM(L45:L50)</f>
        <v>7355356.2839400005</v>
      </c>
      <c r="M51" s="29"/>
      <c r="N51" s="76"/>
      <c r="O51" s="76"/>
      <c r="P51" s="76"/>
    </row>
    <row r="52" spans="1:16" x14ac:dyDescent="0.3">
      <c r="M52" s="29"/>
    </row>
    <row r="53" spans="1:16" s="2" customFormat="1" x14ac:dyDescent="0.3">
      <c r="B53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30"/>
    </row>
    <row r="54" spans="1:16" x14ac:dyDescent="0.3">
      <c r="C54" s="29"/>
      <c r="D54" s="29"/>
      <c r="E54" s="29"/>
      <c r="F54" s="29"/>
      <c r="G54" s="29"/>
      <c r="H54" s="29"/>
      <c r="I54" s="29"/>
      <c r="J54" s="29"/>
      <c r="K54" s="29"/>
      <c r="L54" s="29"/>
    </row>
    <row r="55" spans="1:16" x14ac:dyDescent="0.3">
      <c r="A55" t="s">
        <v>93</v>
      </c>
      <c r="B55" s="26" t="s">
        <v>99</v>
      </c>
      <c r="C55" s="92"/>
      <c r="D55" s="92"/>
      <c r="E55" s="92"/>
      <c r="F55" s="92"/>
      <c r="G55" s="92"/>
      <c r="H55" s="92"/>
      <c r="I55" s="92"/>
      <c r="J55" s="92"/>
      <c r="K55" s="92"/>
      <c r="L55" s="92"/>
    </row>
    <row r="56" spans="1:16" x14ac:dyDescent="0.3">
      <c r="B56" s="2" t="s">
        <v>167</v>
      </c>
      <c r="C56" s="29"/>
      <c r="D56" s="29"/>
      <c r="E56" s="29"/>
      <c r="F56" s="29"/>
      <c r="G56" s="29"/>
      <c r="H56" s="29"/>
      <c r="I56" s="29"/>
      <c r="J56" s="29"/>
      <c r="K56" s="29"/>
      <c r="L56" s="29"/>
    </row>
    <row r="57" spans="1:16" x14ac:dyDescent="0.3">
      <c r="B57" t="s">
        <v>169</v>
      </c>
      <c r="C57" s="29">
        <f>IFERROR('Cash Flow Raw Data'!C4,0)</f>
        <v>490154792</v>
      </c>
      <c r="D57" s="29">
        <f>IFERROR('Cash Flow Raw Data'!D4,0)</f>
        <v>584853016</v>
      </c>
      <c r="E57" s="29">
        <f>IFERROR('Cash Flow Raw Data'!E4,0)</f>
        <v>708953051</v>
      </c>
      <c r="F57" s="29">
        <f>IFERROR('Cash Flow Raw Data'!F4,0)</f>
        <v>884780560</v>
      </c>
      <c r="G57" s="29"/>
      <c r="H57" s="29">
        <f>FORECAST(H$5,$C57:$F57,$C$5:$F$5)</f>
        <v>994179689.5</v>
      </c>
      <c r="I57" s="29">
        <f t="shared" ref="I57:L67" si="32">FORECAST(I$5,$C57:$F57,$C$5:$F$5)</f>
        <v>1124977423.4000001</v>
      </c>
      <c r="J57" s="29">
        <f t="shared" si="32"/>
        <v>1255775157.3000002</v>
      </c>
      <c r="K57" s="29">
        <f t="shared" si="32"/>
        <v>1386572891.2</v>
      </c>
      <c r="L57" s="29">
        <f t="shared" si="32"/>
        <v>1517370625.1000001</v>
      </c>
    </row>
    <row r="58" spans="1:16" x14ac:dyDescent="0.3">
      <c r="B58" t="s">
        <v>168</v>
      </c>
      <c r="C58" s="29"/>
      <c r="D58" s="29"/>
      <c r="E58" s="29"/>
      <c r="F58" s="29"/>
      <c r="G58" s="29"/>
      <c r="H58" s="29"/>
      <c r="I58" s="29"/>
      <c r="J58" s="29"/>
      <c r="K58" s="29"/>
      <c r="L58" s="29"/>
    </row>
    <row r="59" spans="1:16" x14ac:dyDescent="0.3">
      <c r="B59" t="s">
        <v>170</v>
      </c>
      <c r="C59" s="29">
        <f>IFERROR('Cash Flow Raw Data'!C6,0)</f>
        <v>15998039</v>
      </c>
      <c r="D59" s="29">
        <f>IFERROR('Cash Flow Raw Data'!D6,0)</f>
        <v>22424793</v>
      </c>
      <c r="E59" s="29">
        <f>IFERROR('Cash Flow Raw Data'!E6,0)</f>
        <v>28100988</v>
      </c>
      <c r="F59" s="29">
        <f>IFERROR('Cash Flow Raw Data'!F6,0)</f>
        <v>33794728</v>
      </c>
      <c r="G59" s="29"/>
      <c r="H59" s="29">
        <f t="shared" ref="H59:H67" si="33">FORECAST(H$5,$C59:$F59,$C$5:$F$5)</f>
        <v>39846202.5</v>
      </c>
      <c r="I59" s="29">
        <f t="shared" si="32"/>
        <v>45752828.700000003</v>
      </c>
      <c r="J59" s="29">
        <f t="shared" si="32"/>
        <v>51659454.899999999</v>
      </c>
      <c r="K59" s="29">
        <f t="shared" si="32"/>
        <v>57566081.100000001</v>
      </c>
      <c r="L59" s="29">
        <f t="shared" si="32"/>
        <v>63472707.300000004</v>
      </c>
    </row>
    <row r="60" spans="1:16" x14ac:dyDescent="0.3">
      <c r="B60" t="s">
        <v>171</v>
      </c>
      <c r="C60" s="29">
        <f>IFERROR('Cash Flow Raw Data'!C7,0)</f>
        <v>-15463977</v>
      </c>
      <c r="D60" s="29">
        <f>IFERROR('Cash Flow Raw Data'!D7,0)</f>
        <v>5458202</v>
      </c>
      <c r="E60" s="29">
        <f>IFERROR('Cash Flow Raw Data'!E7,0)</f>
        <v>-9434922</v>
      </c>
      <c r="F60" s="29">
        <f>IFERROR('Cash Flow Raw Data'!F7,0)</f>
        <v>2683978</v>
      </c>
      <c r="G60" s="29"/>
      <c r="H60" s="29">
        <f t="shared" si="33"/>
        <v>5698505.5</v>
      </c>
      <c r="I60" s="29">
        <f t="shared" si="32"/>
        <v>9653579.6000000015</v>
      </c>
      <c r="J60" s="29">
        <f t="shared" si="32"/>
        <v>13608653.699999999</v>
      </c>
      <c r="K60" s="29">
        <f t="shared" si="32"/>
        <v>17563727.800000001</v>
      </c>
      <c r="L60" s="29">
        <f t="shared" si="32"/>
        <v>21518801.899999999</v>
      </c>
    </row>
    <row r="61" spans="1:16" x14ac:dyDescent="0.3">
      <c r="B61" t="s">
        <v>172</v>
      </c>
      <c r="C61" s="29">
        <f>IFERROR('Cash Flow Raw Data'!C8,0)</f>
        <v>8213244</v>
      </c>
      <c r="D61" s="29">
        <f>IFERROR('Cash Flow Raw Data'!D8,0)</f>
        <v>8511961</v>
      </c>
      <c r="E61" s="29">
        <f>IFERROR('Cash Flow Raw Data'!E8,0)</f>
        <v>8449479</v>
      </c>
      <c r="F61" s="29">
        <f>IFERROR('Cash Flow Raw Data'!F8,0)</f>
        <v>-278677</v>
      </c>
      <c r="G61" s="29"/>
      <c r="H61" s="29">
        <f t="shared" si="33"/>
        <v>-160559.5</v>
      </c>
      <c r="I61" s="29">
        <f t="shared" si="32"/>
        <v>-2714384</v>
      </c>
      <c r="J61" s="29">
        <f t="shared" si="32"/>
        <v>-5268208.5</v>
      </c>
      <c r="K61" s="29">
        <f t="shared" si="32"/>
        <v>-7822033</v>
      </c>
      <c r="L61" s="29">
        <f t="shared" si="32"/>
        <v>-10375857.5</v>
      </c>
    </row>
    <row r="62" spans="1:16" x14ac:dyDescent="0.3">
      <c r="B62" t="s">
        <v>213</v>
      </c>
      <c r="C62" s="29">
        <f>IFERROR('Cash Flow Raw Data'!C9,0)</f>
        <v>33388</v>
      </c>
      <c r="D62" s="29">
        <f>IFERROR('Cash Flow Raw Data'!D9,0)</f>
        <v>-82875</v>
      </c>
      <c r="E62" s="29">
        <f>IFERROR('Cash Flow Raw Data'!E9,0)</f>
        <v>-738174</v>
      </c>
      <c r="F62" s="29">
        <f>IFERROR('Cash Flow Raw Data'!F9,0)</f>
        <v>-226517</v>
      </c>
      <c r="G62" s="29"/>
      <c r="H62" s="29">
        <f t="shared" si="33"/>
        <v>-612298</v>
      </c>
      <c r="I62" s="29">
        <f t="shared" si="32"/>
        <v>-755799.39999999991</v>
      </c>
      <c r="J62" s="29">
        <f t="shared" si="32"/>
        <v>-899300.79999999993</v>
      </c>
      <c r="K62" s="29">
        <f t="shared" si="32"/>
        <v>-1042802.2</v>
      </c>
      <c r="L62" s="29">
        <f t="shared" si="32"/>
        <v>-1186303.5999999999</v>
      </c>
    </row>
    <row r="63" spans="1:16" x14ac:dyDescent="0.3">
      <c r="B63" t="s">
        <v>173</v>
      </c>
      <c r="C63" s="29" t="str">
        <f>IFERROR('Cash Flow Raw Data'!C10,0)</f>
        <v>-</v>
      </c>
      <c r="D63" s="29" t="str">
        <f>IFERROR('Cash Flow Raw Data'!D10,0)</f>
        <v>-</v>
      </c>
      <c r="E63" s="29">
        <f>IFERROR('Cash Flow Raw Data'!E10,0)</f>
        <v>-73414237</v>
      </c>
      <c r="F63" s="29">
        <f>IFERROR('Cash Flow Raw Data'!F10,0)</f>
        <v>80000</v>
      </c>
      <c r="G63" s="29"/>
      <c r="H63" s="29">
        <f t="shared" si="33"/>
        <v>73574237</v>
      </c>
      <c r="I63" s="29">
        <f t="shared" si="32"/>
        <v>147068474</v>
      </c>
      <c r="J63" s="29">
        <f t="shared" si="32"/>
        <v>220562711</v>
      </c>
      <c r="K63" s="29">
        <f t="shared" si="32"/>
        <v>294056948</v>
      </c>
      <c r="L63" s="29">
        <f t="shared" si="32"/>
        <v>367551185</v>
      </c>
      <c r="M63" s="29"/>
    </row>
    <row r="64" spans="1:16" x14ac:dyDescent="0.3">
      <c r="B64" t="s">
        <v>174</v>
      </c>
      <c r="C64" s="29">
        <f>IFERROR('Cash Flow Raw Data'!C11,0)</f>
        <v>106334842</v>
      </c>
      <c r="D64" s="29">
        <f>IFERROR('Cash Flow Raw Data'!D11,0)</f>
        <v>117873839</v>
      </c>
      <c r="E64" s="29">
        <f>IFERROR('Cash Flow Raw Data'!E11,0)</f>
        <v>107748189</v>
      </c>
      <c r="F64" s="29">
        <f>IFERROR('Cash Flow Raw Data'!F11,0)</f>
        <v>127153073</v>
      </c>
      <c r="G64" s="29"/>
      <c r="H64" s="29">
        <f t="shared" si="33"/>
        <v>127859746.5</v>
      </c>
      <c r="I64" s="29">
        <f t="shared" si="32"/>
        <v>133092650.8</v>
      </c>
      <c r="J64" s="29">
        <f t="shared" si="32"/>
        <v>138325555.09999999</v>
      </c>
      <c r="K64" s="29">
        <f t="shared" si="32"/>
        <v>143558459.40000001</v>
      </c>
      <c r="L64" s="29">
        <f t="shared" si="32"/>
        <v>148791363.69999999</v>
      </c>
    </row>
    <row r="65" spans="2:12" x14ac:dyDescent="0.3">
      <c r="B65" t="s">
        <v>175</v>
      </c>
      <c r="C65" s="29" t="str">
        <f>IFERROR('Cash Flow Raw Data'!C12,0)</f>
        <v>-</v>
      </c>
      <c r="D65" s="29" t="str">
        <f>IFERROR('Cash Flow Raw Data'!D12,0)</f>
        <v>-</v>
      </c>
      <c r="E65" s="29">
        <f>IFERROR('Cash Flow Raw Data'!E12,0)</f>
        <v>109000000</v>
      </c>
      <c r="F65" s="29" t="str">
        <f>IFERROR('Cash Flow Raw Data'!F12,0)</f>
        <v>-</v>
      </c>
      <c r="G65" s="29"/>
      <c r="H65" s="29"/>
      <c r="I65" s="29"/>
      <c r="J65" s="29"/>
      <c r="K65" s="29"/>
      <c r="L65" s="29"/>
    </row>
    <row r="66" spans="2:12" x14ac:dyDescent="0.3">
      <c r="B66" t="s">
        <v>176</v>
      </c>
      <c r="C66" s="29">
        <f>IFERROR('Cash Flow Raw Data'!C13,0)</f>
        <v>49569684</v>
      </c>
      <c r="D66" s="29">
        <f>IFERROR('Cash Flow Raw Data'!D13,0)</f>
        <v>1322746</v>
      </c>
      <c r="E66" s="29">
        <f>IFERROR('Cash Flow Raw Data'!E13,0)</f>
        <v>18173261</v>
      </c>
      <c r="F66" s="29">
        <f>IFERROR('Cash Flow Raw Data'!F13,0)</f>
        <v>-10658745</v>
      </c>
      <c r="G66" s="29"/>
      <c r="H66" s="29">
        <f t="shared" si="33"/>
        <v>-26356956.5</v>
      </c>
      <c r="I66" s="29">
        <f t="shared" si="32"/>
        <v>-42740433.699999988</v>
      </c>
      <c r="J66" s="29">
        <f t="shared" si="32"/>
        <v>-59123910.899999991</v>
      </c>
      <c r="K66" s="29">
        <f t="shared" si="32"/>
        <v>-75507388.099999994</v>
      </c>
      <c r="L66" s="29">
        <f t="shared" si="32"/>
        <v>-91890865.299999982</v>
      </c>
    </row>
    <row r="67" spans="2:12" x14ac:dyDescent="0.3">
      <c r="B67" t="s">
        <v>177</v>
      </c>
      <c r="C67" s="29">
        <f>IFERROR('Cash Flow Raw Data'!C14,0)</f>
        <v>-8308954</v>
      </c>
      <c r="D67" s="29">
        <f>IFERROR('Cash Flow Raw Data'!D14,0)</f>
        <v>-8109753</v>
      </c>
      <c r="E67" s="29">
        <f>IFERROR('Cash Flow Raw Data'!E14,0)</f>
        <v>-13323911</v>
      </c>
      <c r="F67" s="29">
        <f>IFERROR('Cash Flow Raw Data'!F14,0)</f>
        <v>-21870101</v>
      </c>
      <c r="G67" s="29"/>
      <c r="H67" s="29">
        <f t="shared" si="33"/>
        <v>-24377579.5</v>
      </c>
      <c r="I67" s="29">
        <f t="shared" si="32"/>
        <v>-28967339.400000002</v>
      </c>
      <c r="J67" s="29">
        <f t="shared" si="32"/>
        <v>-33557099.300000004</v>
      </c>
      <c r="K67" s="29">
        <f t="shared" si="32"/>
        <v>-38146859.200000003</v>
      </c>
      <c r="L67" s="29">
        <f t="shared" si="32"/>
        <v>-42736619.100000001</v>
      </c>
    </row>
    <row r="68" spans="2:12" x14ac:dyDescent="0.3">
      <c r="B68" t="s">
        <v>178</v>
      </c>
      <c r="C68" s="29">
        <f>IFERROR('Cash Flow Raw Data'!C15,0)</f>
        <v>3259696</v>
      </c>
      <c r="D68" s="29">
        <f>IFERROR('Cash Flow Raw Data'!D15,0)</f>
        <v>7488973</v>
      </c>
      <c r="E68" s="29">
        <f>IFERROR('Cash Flow Raw Data'!E15,0)</f>
        <v>15474040</v>
      </c>
      <c r="F68" s="29">
        <f>IFERROR('Cash Flow Raw Data'!F15,0)</f>
        <v>18907034</v>
      </c>
      <c r="G68" s="29"/>
      <c r="H68" s="29">
        <f t="shared" ref="H68" si="34">FORECAST(H$5,$C68:$F68,$C$5:$F$5)</f>
        <v>25014206</v>
      </c>
      <c r="I68" s="29">
        <f>FORECAST(I$5,$C68:$F68,$C$5:$F$5)</f>
        <v>30506914.099999998</v>
      </c>
      <c r="J68" s="29">
        <f>FORECAST(J$5,$C68:$F68,$C$5:$F$5)</f>
        <v>35999622.199999996</v>
      </c>
      <c r="K68" s="29">
        <f>FORECAST(K$5,$C68:$F68,$C$5:$F$5)</f>
        <v>41492330.299999997</v>
      </c>
      <c r="L68" s="29">
        <f>FORECAST(L$5,$C68:$F68,$C$5:$F$5)</f>
        <v>46985038.399999999</v>
      </c>
    </row>
    <row r="69" spans="2:12" x14ac:dyDescent="0.3">
      <c r="B69" s="34"/>
      <c r="C69" s="32">
        <f t="shared" ref="C69:E69" si="35">SUM(C57:C68)</f>
        <v>649790754</v>
      </c>
      <c r="D69" s="32">
        <f t="shared" si="35"/>
        <v>739740902</v>
      </c>
      <c r="E69" s="32">
        <f t="shared" si="35"/>
        <v>898987764</v>
      </c>
      <c r="F69" s="32">
        <f>SUM(F57:F68)</f>
        <v>1034365333</v>
      </c>
      <c r="G69" s="32"/>
      <c r="H69" s="32">
        <f t="shared" ref="H69" si="36">SUM(H57:H68)</f>
        <v>1214665193.5</v>
      </c>
      <c r="I69" s="32">
        <f t="shared" ref="I69" si="37">SUM(I57:I68)</f>
        <v>1415873914.0999997</v>
      </c>
      <c r="J69" s="32">
        <f t="shared" ref="J69:K69" si="38">SUM(J57:J68)</f>
        <v>1617082634.7000003</v>
      </c>
      <c r="K69" s="32">
        <f t="shared" si="38"/>
        <v>1818291355.3</v>
      </c>
      <c r="L69" s="32">
        <f t="shared" ref="L69" si="39">SUM(L57:L68)</f>
        <v>2019500075.9000006</v>
      </c>
    </row>
    <row r="70" spans="2:12" x14ac:dyDescent="0.3">
      <c r="B70" t="s">
        <v>168</v>
      </c>
      <c r="C70" s="29"/>
      <c r="D70" s="29"/>
      <c r="E70" s="29"/>
      <c r="F70" s="29"/>
      <c r="G70" s="29"/>
      <c r="H70" s="29"/>
      <c r="I70" s="29"/>
      <c r="J70" s="29"/>
      <c r="K70" s="29"/>
      <c r="L70" s="29"/>
    </row>
    <row r="71" spans="2:12" x14ac:dyDescent="0.3">
      <c r="B71" t="s">
        <v>179</v>
      </c>
      <c r="C71" s="29">
        <f>IFERROR('Cash Flow Raw Data'!C18,0)</f>
        <v>-121951685</v>
      </c>
      <c r="D71" s="29">
        <f>IFERROR('Cash Flow Raw Data'!D18,0)</f>
        <v>-633308892</v>
      </c>
      <c r="E71" s="29">
        <f>IFERROR('Cash Flow Raw Data'!E18,0)</f>
        <v>-548336186</v>
      </c>
      <c r="F71" s="29">
        <f>IFERROR('Cash Flow Raw Data'!F18,0)</f>
        <v>-1302003741</v>
      </c>
      <c r="G71" s="29"/>
      <c r="H71" s="29">
        <f>FORECAST(H$5,$C71:$F71,$C$5:$F$5)</f>
        <v>-1515195991.5</v>
      </c>
      <c r="I71" s="29">
        <f t="shared" ref="I71:L71" si="40">FORECAST(I$5,$C71:$F71,$C$5:$F$5)</f>
        <v>-1860714337.6999998</v>
      </c>
      <c r="J71" s="29">
        <f t="shared" si="40"/>
        <v>-2206232683.9000001</v>
      </c>
      <c r="K71" s="29">
        <f t="shared" si="40"/>
        <v>-2551751030.0999999</v>
      </c>
      <c r="L71" s="29">
        <f t="shared" si="40"/>
        <v>-2897269376.2999997</v>
      </c>
    </row>
    <row r="72" spans="2:12" x14ac:dyDescent="0.3">
      <c r="B72" t="s">
        <v>180</v>
      </c>
      <c r="C72" s="29">
        <f>IFERROR('Cash Flow Raw Data'!C19,0)</f>
        <v>-2466388983</v>
      </c>
      <c r="D72" s="29">
        <f>IFERROR('Cash Flow Raw Data'!D19,0)</f>
        <v>-2435526411</v>
      </c>
      <c r="E72" s="29">
        <f>IFERROR('Cash Flow Raw Data'!E19,0)</f>
        <v>-2894442171</v>
      </c>
      <c r="F72" s="29">
        <f>IFERROR('Cash Flow Raw Data'!F19,0)</f>
        <v>-1489033797</v>
      </c>
      <c r="G72" s="29"/>
      <c r="H72" s="29">
        <f t="shared" ref="H72:L75" si="41">FORECAST(H$5,$C72:$F72,$C$5:$F$5)</f>
        <v>-1703060391</v>
      </c>
      <c r="I72" s="29">
        <f t="shared" si="41"/>
        <v>-1455745411.1999998</v>
      </c>
      <c r="J72" s="29">
        <f t="shared" si="41"/>
        <v>-1208430431.3999999</v>
      </c>
      <c r="K72" s="29">
        <f t="shared" si="41"/>
        <v>-961115451.5999999</v>
      </c>
      <c r="L72" s="29">
        <f t="shared" si="41"/>
        <v>-713800471.79999971</v>
      </c>
    </row>
    <row r="73" spans="2:12" x14ac:dyDescent="0.3">
      <c r="B73" t="s">
        <v>181</v>
      </c>
      <c r="C73" s="29">
        <f>IFERROR('Cash Flow Raw Data'!C20,0)</f>
        <v>2241572192</v>
      </c>
      <c r="D73" s="29">
        <f>IFERROR('Cash Flow Raw Data'!D20,0)</f>
        <v>3241772063</v>
      </c>
      <c r="E73" s="29">
        <f>IFERROR('Cash Flow Raw Data'!E20,0)</f>
        <v>3391324138</v>
      </c>
      <c r="F73" s="29">
        <f>IFERROR('Cash Flow Raw Data'!F20,0)</f>
        <v>3349286195</v>
      </c>
      <c r="G73" s="29"/>
      <c r="H73" s="29">
        <f t="shared" si="41"/>
        <v>3924162168</v>
      </c>
      <c r="I73" s="29">
        <f t="shared" si="41"/>
        <v>4271431576.3999996</v>
      </c>
      <c r="J73" s="29">
        <f t="shared" si="41"/>
        <v>4618700984.7999992</v>
      </c>
      <c r="K73" s="29">
        <f t="shared" si="41"/>
        <v>4965970393.1999998</v>
      </c>
      <c r="L73" s="29">
        <f t="shared" si="41"/>
        <v>5313239801.6000004</v>
      </c>
    </row>
    <row r="74" spans="2:12" x14ac:dyDescent="0.3">
      <c r="B74" t="s">
        <v>182</v>
      </c>
      <c r="C74" s="29">
        <f>IFERROR('Cash Flow Raw Data'!C21,0)</f>
        <v>-380235846</v>
      </c>
      <c r="D74" s="29">
        <f>IFERROR('Cash Flow Raw Data'!D21,0)</f>
        <v>-594093460</v>
      </c>
      <c r="E74" s="29">
        <f>IFERROR('Cash Flow Raw Data'!E21,0)</f>
        <v>-292254127</v>
      </c>
      <c r="F74" s="29">
        <f>IFERROR('Cash Flow Raw Data'!F21,0)</f>
        <v>-73424525</v>
      </c>
      <c r="G74" s="29"/>
      <c r="H74" s="29">
        <f t="shared" si="41"/>
        <v>-29433665.5</v>
      </c>
      <c r="I74" s="29">
        <f t="shared" si="41"/>
        <v>92793664.099999905</v>
      </c>
      <c r="J74" s="29">
        <f t="shared" si="41"/>
        <v>215020993.69999993</v>
      </c>
      <c r="K74" s="29">
        <f t="shared" si="41"/>
        <v>337248323.29999995</v>
      </c>
      <c r="L74" s="29">
        <f t="shared" si="41"/>
        <v>459475652.89999986</v>
      </c>
    </row>
    <row r="75" spans="2:12" x14ac:dyDescent="0.3">
      <c r="B75" t="s">
        <v>183</v>
      </c>
      <c r="C75" s="29">
        <f>IFERROR('Cash Flow Raw Data'!C22,0)</f>
        <v>75178971</v>
      </c>
      <c r="D75" s="29">
        <f>IFERROR('Cash Flow Raw Data'!D22,0)</f>
        <v>109307200</v>
      </c>
      <c r="E75" s="29">
        <f>IFERROR('Cash Flow Raw Data'!E22,0)</f>
        <v>-6692396</v>
      </c>
      <c r="F75" s="29">
        <f>IFERROR('Cash Flow Raw Data'!F22,0)</f>
        <v>106340648</v>
      </c>
      <c r="G75" s="29"/>
      <c r="H75" s="29">
        <f>FORECAST(H$5,$C75:$F75,$C$5:$F$5)</f>
        <v>65404964.5</v>
      </c>
      <c r="I75" s="29">
        <f t="shared" si="41"/>
        <v>63153508</v>
      </c>
      <c r="J75" s="29">
        <f t="shared" si="41"/>
        <v>60902051.5</v>
      </c>
      <c r="K75" s="29">
        <f t="shared" si="41"/>
        <v>58650595</v>
      </c>
      <c r="L75" s="29">
        <f t="shared" si="41"/>
        <v>56399138.5</v>
      </c>
    </row>
    <row r="76" spans="2:12" x14ac:dyDescent="0.3">
      <c r="B76" s="34"/>
      <c r="C76" s="32">
        <f t="shared" ref="C76:E76" si="42">SUM(C69:C75)</f>
        <v>-2034597</v>
      </c>
      <c r="D76" s="32">
        <f t="shared" si="42"/>
        <v>427891402</v>
      </c>
      <c r="E76" s="32">
        <f t="shared" si="42"/>
        <v>548587022</v>
      </c>
      <c r="F76" s="32">
        <f>SUM(F69:F75)</f>
        <v>1625530113</v>
      </c>
      <c r="G76" s="32"/>
      <c r="H76" s="32">
        <f t="shared" ref="H76" si="43">SUM(H69:H75)</f>
        <v>1956542278</v>
      </c>
      <c r="I76" s="32">
        <f t="shared" ref="I76" si="44">SUM(I69:I75)</f>
        <v>2526792913.6999993</v>
      </c>
      <c r="J76" s="32">
        <f t="shared" ref="J76:K76" si="45">SUM(J69:J75)</f>
        <v>3097043549.3999996</v>
      </c>
      <c r="K76" s="32">
        <f t="shared" si="45"/>
        <v>3667294185.1000004</v>
      </c>
      <c r="L76" s="32">
        <f t="shared" ref="L76" si="46">SUM(L69:L75)</f>
        <v>4237544820.8000011</v>
      </c>
    </row>
    <row r="77" spans="2:12" x14ac:dyDescent="0.3">
      <c r="B77" t="s">
        <v>184</v>
      </c>
      <c r="C77" s="29">
        <f>IFERROR('Cash Flow Raw Data'!C24,0)</f>
        <v>-140052624</v>
      </c>
      <c r="D77" s="29">
        <f>IFERROR('Cash Flow Raw Data'!D24,0)</f>
        <v>-154757324</v>
      </c>
      <c r="E77" s="29">
        <f>IFERROR('Cash Flow Raw Data'!E24,0)</f>
        <v>-198437376</v>
      </c>
      <c r="F77" s="29">
        <f>IFERROR('Cash Flow Raw Data'!F24,0)</f>
        <v>-173757076</v>
      </c>
      <c r="G77" s="29"/>
      <c r="H77" s="29">
        <f>FORECAST(H$5,$C77:$F77,$C$5:$F$5)</f>
        <v>-202949452</v>
      </c>
      <c r="I77" s="29">
        <f>FORECAST(I$5,$C77:$F77,$C$5:$F$5)</f>
        <v>-217428792.80000001</v>
      </c>
      <c r="J77" s="29">
        <f>FORECAST(J$5,$C77:$F77,$C$5:$F$5)</f>
        <v>-231908133.60000002</v>
      </c>
      <c r="K77" s="29">
        <f>FORECAST(K$5,$C77:$F77,$C$5:$F$5)</f>
        <v>-246387474.40000001</v>
      </c>
      <c r="L77" s="29">
        <f>FORECAST(L$5,$C77:$F77,$C$5:$F$5)</f>
        <v>-260866815.19999999</v>
      </c>
    </row>
    <row r="78" spans="2:12" x14ac:dyDescent="0.3">
      <c r="B78" s="40" t="s">
        <v>185</v>
      </c>
      <c r="C78" s="75">
        <f t="shared" ref="C78:E78" si="47">SUM(C76:C77)</f>
        <v>-142087221</v>
      </c>
      <c r="D78" s="75">
        <f t="shared" si="47"/>
        <v>273134078</v>
      </c>
      <c r="E78" s="75">
        <f t="shared" si="47"/>
        <v>350149646</v>
      </c>
      <c r="F78" s="75">
        <f>SUM(F76:F77)</f>
        <v>1451773037</v>
      </c>
      <c r="G78" s="75"/>
      <c r="H78" s="75">
        <f t="shared" ref="H78:L78" si="48">SUM(H76:H77)</f>
        <v>1753592826</v>
      </c>
      <c r="I78" s="75">
        <f t="shared" si="48"/>
        <v>2309364120.8999991</v>
      </c>
      <c r="J78" s="75">
        <f t="shared" si="48"/>
        <v>2865135415.7999997</v>
      </c>
      <c r="K78" s="75">
        <f t="shared" si="48"/>
        <v>3420906710.7000003</v>
      </c>
      <c r="L78" s="75">
        <f t="shared" si="48"/>
        <v>3976678005.6000013</v>
      </c>
    </row>
    <row r="79" spans="2:12" x14ac:dyDescent="0.3">
      <c r="C79" s="29"/>
      <c r="D79" s="29"/>
      <c r="E79" s="29"/>
      <c r="F79" s="29"/>
      <c r="G79" s="29"/>
      <c r="H79" s="29"/>
      <c r="I79" s="29"/>
      <c r="J79" s="29"/>
      <c r="K79" s="29"/>
      <c r="L79" s="29"/>
    </row>
    <row r="80" spans="2:12" x14ac:dyDescent="0.3">
      <c r="B80" s="2" t="s">
        <v>186</v>
      </c>
      <c r="C80" s="29"/>
      <c r="D80" s="29"/>
      <c r="E80" s="29"/>
      <c r="F80" s="29"/>
      <c r="G80" s="29"/>
      <c r="H80" s="29"/>
      <c r="I80" s="29"/>
      <c r="J80" s="29"/>
      <c r="K80" s="29"/>
      <c r="L80" s="29"/>
    </row>
    <row r="81" spans="2:12" x14ac:dyDescent="0.3">
      <c r="B81" t="s">
        <v>188</v>
      </c>
      <c r="C81" s="29">
        <f>IFERROR('Cash Flow Raw Data'!C27,0)</f>
        <v>-21407866</v>
      </c>
      <c r="D81" s="29">
        <f>IFERROR('Cash Flow Raw Data'!D27,0)</f>
        <v>-32804687</v>
      </c>
      <c r="E81" s="29">
        <f>IFERROR('Cash Flow Raw Data'!E27,0)</f>
        <v>-38348940</v>
      </c>
      <c r="F81" s="29">
        <f>IFERROR('Cash Flow Raw Data'!F27,0)</f>
        <v>-31986944</v>
      </c>
      <c r="G81" s="29"/>
      <c r="H81" s="29">
        <f>FORECAST(H$5,$C81:$F81,$C$5:$F$5)</f>
        <v>-40457481</v>
      </c>
      <c r="I81" s="29">
        <f t="shared" ref="I81:L81" si="49">FORECAST(I$5,$C81:$F81,$C$5:$F$5)</f>
        <v>-44185629.700000003</v>
      </c>
      <c r="J81" s="29">
        <f t="shared" si="49"/>
        <v>-47913778.400000006</v>
      </c>
      <c r="K81" s="29">
        <f t="shared" si="49"/>
        <v>-51641927.100000001</v>
      </c>
      <c r="L81" s="29">
        <f t="shared" si="49"/>
        <v>-55370075.799999997</v>
      </c>
    </row>
    <row r="82" spans="2:12" x14ac:dyDescent="0.3">
      <c r="B82" t="s">
        <v>189</v>
      </c>
      <c r="C82" s="29">
        <f>IFERROR('Cash Flow Raw Data'!C28,0)</f>
        <v>182956</v>
      </c>
      <c r="D82" s="29">
        <f>IFERROR('Cash Flow Raw Data'!D28,0)</f>
        <v>406121</v>
      </c>
      <c r="E82" s="29">
        <f>IFERROR('Cash Flow Raw Data'!E28,0)</f>
        <v>960042</v>
      </c>
      <c r="F82" s="29">
        <f>IFERROR('Cash Flow Raw Data'!F28,0)</f>
        <v>904484</v>
      </c>
      <c r="G82" s="29"/>
      <c r="H82" s="29">
        <f t="shared" ref="H82:L85" si="50">FORECAST(H$5,$C82:$F82,$C$5:$F$5)</f>
        <v>1293027</v>
      </c>
      <c r="I82" s="29">
        <f t="shared" si="50"/>
        <v>1564877.5</v>
      </c>
      <c r="J82" s="29">
        <f t="shared" si="50"/>
        <v>1836728</v>
      </c>
      <c r="K82" s="29">
        <f t="shared" si="50"/>
        <v>2108578.5</v>
      </c>
      <c r="L82" s="29">
        <f t="shared" si="50"/>
        <v>2380429</v>
      </c>
    </row>
    <row r="83" spans="2:12" x14ac:dyDescent="0.3">
      <c r="B83" t="s">
        <v>190</v>
      </c>
      <c r="C83" s="29">
        <f>IFERROR('Cash Flow Raw Data'!C29,0)</f>
        <v>0</v>
      </c>
      <c r="D83" s="29">
        <f>IFERROR('Cash Flow Raw Data'!D29,0)</f>
        <v>0</v>
      </c>
      <c r="E83" s="29">
        <f>IFERROR('Cash Flow Raw Data'!E29,0)</f>
        <v>0</v>
      </c>
      <c r="F83" s="29">
        <f>IFERROR('Cash Flow Raw Data'!F29,0)</f>
        <v>-13097695</v>
      </c>
      <c r="G83" s="29"/>
      <c r="H83" s="29">
        <f t="shared" si="50"/>
        <v>-13097695</v>
      </c>
      <c r="I83" s="29">
        <f t="shared" si="50"/>
        <v>-17027003.5</v>
      </c>
      <c r="J83" s="29">
        <f t="shared" si="50"/>
        <v>-20956312</v>
      </c>
      <c r="K83" s="29">
        <f t="shared" si="50"/>
        <v>-24885620.5</v>
      </c>
      <c r="L83" s="29">
        <f t="shared" si="50"/>
        <v>-28814929</v>
      </c>
    </row>
    <row r="84" spans="2:12" x14ac:dyDescent="0.3">
      <c r="B84" t="s">
        <v>191</v>
      </c>
      <c r="C84" s="29">
        <f>IFERROR('Cash Flow Raw Data'!C30,0)</f>
        <v>0</v>
      </c>
      <c r="D84" s="29">
        <f>IFERROR('Cash Flow Raw Data'!D30,0)</f>
        <v>0</v>
      </c>
      <c r="E84" s="29">
        <f>IFERROR('Cash Flow Raw Data'!E30,0)</f>
        <v>95006717</v>
      </c>
      <c r="F84" s="29">
        <f>IFERROR('Cash Flow Raw Data'!F30,0)</f>
        <v>1920000</v>
      </c>
      <c r="G84" s="29"/>
      <c r="H84" s="29">
        <f t="shared" si="50"/>
        <v>49423358.5</v>
      </c>
      <c r="I84" s="29">
        <f t="shared" si="50"/>
        <v>59500030.199999996</v>
      </c>
      <c r="J84" s="29">
        <f t="shared" si="50"/>
        <v>69576701.899999991</v>
      </c>
      <c r="K84" s="29">
        <f t="shared" si="50"/>
        <v>79653373.599999994</v>
      </c>
      <c r="L84" s="29">
        <f t="shared" si="50"/>
        <v>89730045.299999997</v>
      </c>
    </row>
    <row r="85" spans="2:12" x14ac:dyDescent="0.3">
      <c r="B85" t="s">
        <v>192</v>
      </c>
      <c r="C85" s="29">
        <f>IFERROR('Cash Flow Raw Data'!C31,0)</f>
        <v>8308954</v>
      </c>
      <c r="D85" s="29">
        <f>IFERROR('Cash Flow Raw Data'!D31,0)</f>
        <v>8109753</v>
      </c>
      <c r="E85" s="29">
        <f>IFERROR('Cash Flow Raw Data'!E31,0)</f>
        <v>13323911</v>
      </c>
      <c r="F85" s="29">
        <f>IFERROR('Cash Flow Raw Data'!F31,0)</f>
        <v>21870101</v>
      </c>
      <c r="G85" s="29"/>
      <c r="H85" s="29">
        <f t="shared" si="50"/>
        <v>24377579.5</v>
      </c>
      <c r="I85" s="29">
        <f t="shared" si="50"/>
        <v>28967339.400000002</v>
      </c>
      <c r="J85" s="29">
        <f t="shared" si="50"/>
        <v>33557099.300000004</v>
      </c>
      <c r="K85" s="29">
        <f t="shared" si="50"/>
        <v>38146859.200000003</v>
      </c>
      <c r="L85" s="29">
        <f t="shared" si="50"/>
        <v>42736619.100000001</v>
      </c>
    </row>
    <row r="86" spans="2:12" x14ac:dyDescent="0.3">
      <c r="B86" s="40" t="s">
        <v>193</v>
      </c>
      <c r="C86" s="75">
        <f>SUM(C81:C85)</f>
        <v>-12915956</v>
      </c>
      <c r="D86" s="75">
        <f t="shared" ref="D86:E86" si="51">SUM(D81:D85)</f>
        <v>-24288813</v>
      </c>
      <c r="E86" s="75">
        <f t="shared" si="51"/>
        <v>70941730</v>
      </c>
      <c r="F86" s="75">
        <f t="shared" ref="F86" si="52">SUM(F81:F85)</f>
        <v>-20390054</v>
      </c>
      <c r="G86" s="75"/>
      <c r="H86" s="75">
        <f t="shared" ref="H86" si="53">SUM(H81:H85)</f>
        <v>21538789</v>
      </c>
      <c r="I86" s="75">
        <f t="shared" ref="I86" si="54">SUM(I81:I85)</f>
        <v>28819613.899999995</v>
      </c>
      <c r="J86" s="75">
        <f t="shared" ref="J86" si="55">SUM(J81:J85)</f>
        <v>36100438.79999999</v>
      </c>
      <c r="K86" s="75">
        <f t="shared" ref="K86" si="56">SUM(K81:K85)</f>
        <v>43381263.700000003</v>
      </c>
      <c r="L86" s="75">
        <f t="shared" ref="L86" si="57">SUM(L81:L85)</f>
        <v>50662088.600000001</v>
      </c>
    </row>
    <row r="87" spans="2:12" x14ac:dyDescent="0.3">
      <c r="C87" s="29"/>
      <c r="D87" s="29"/>
      <c r="E87" s="29"/>
      <c r="F87" s="29"/>
      <c r="G87" s="29"/>
      <c r="H87" s="30"/>
      <c r="I87" s="30"/>
      <c r="J87" s="30"/>
      <c r="K87" s="30"/>
      <c r="L87" s="30"/>
    </row>
    <row r="88" spans="2:12" x14ac:dyDescent="0.3">
      <c r="B88" s="2" t="s">
        <v>187</v>
      </c>
      <c r="C88" s="29"/>
      <c r="D88" s="29"/>
      <c r="E88" s="29"/>
      <c r="F88" s="29"/>
      <c r="G88" s="29"/>
      <c r="H88" s="29"/>
      <c r="I88" s="29"/>
      <c r="J88" s="29"/>
      <c r="K88" s="29"/>
      <c r="L88" s="29"/>
    </row>
    <row r="89" spans="2:12" x14ac:dyDescent="0.3">
      <c r="B89" t="s">
        <v>194</v>
      </c>
      <c r="C89" s="29">
        <f>IFERROR('Cash Flow Raw Data'!C34,0)</f>
        <v>0</v>
      </c>
      <c r="D89" s="29">
        <f>IFERROR('Cash Flow Raw Data'!D34,0)</f>
        <v>0</v>
      </c>
      <c r="E89" s="29">
        <f>IFERROR('Cash Flow Raw Data'!E34,0)</f>
        <v>31928121</v>
      </c>
      <c r="F89" s="29">
        <f>IFERROR('Cash Flow Raw Data'!F34,0)</f>
        <v>0</v>
      </c>
      <c r="G89" s="29"/>
      <c r="H89" s="29">
        <v>0</v>
      </c>
      <c r="I89" s="29">
        <v>0</v>
      </c>
      <c r="J89" s="29">
        <v>0</v>
      </c>
      <c r="K89" s="29">
        <v>0</v>
      </c>
      <c r="L89" s="29">
        <v>0</v>
      </c>
    </row>
    <row r="90" spans="2:12" x14ac:dyDescent="0.3">
      <c r="B90" t="s">
        <v>195</v>
      </c>
      <c r="C90" s="29">
        <f>IFERROR('Cash Flow Raw Data'!C35,0)</f>
        <v>0</v>
      </c>
      <c r="D90" s="29">
        <f>IFERROR('Cash Flow Raw Data'!D35,0)</f>
        <v>0</v>
      </c>
      <c r="E90" s="29">
        <f>IFERROR('Cash Flow Raw Data'!E35,0)</f>
        <v>52497323</v>
      </c>
      <c r="F90" s="29">
        <f>IFERROR('Cash Flow Raw Data'!F35,0)</f>
        <v>63464973</v>
      </c>
      <c r="G90" s="29"/>
      <c r="H90" s="29">
        <f t="shared" ref="H90:L95" si="58">FORECAST(H$5,$C90:$F90,$C$5:$F$5)</f>
        <v>89713634.5</v>
      </c>
      <c r="I90" s="29">
        <f t="shared" si="58"/>
        <v>114002858.69999999</v>
      </c>
      <c r="J90" s="29">
        <f t="shared" si="58"/>
        <v>138292082.90000001</v>
      </c>
      <c r="K90" s="29">
        <f t="shared" si="58"/>
        <v>162581307.09999999</v>
      </c>
      <c r="L90" s="29">
        <f t="shared" si="58"/>
        <v>186870531.29999998</v>
      </c>
    </row>
    <row r="91" spans="2:12" x14ac:dyDescent="0.3">
      <c r="B91" t="s">
        <v>215</v>
      </c>
      <c r="C91" s="29">
        <f>IFERROR('Cash Flow Raw Data'!C36,0)</f>
        <v>26097614</v>
      </c>
      <c r="D91" s="29">
        <f>IFERROR('Cash Flow Raw Data'!D36,0)</f>
        <v>34158331</v>
      </c>
      <c r="E91" s="29">
        <f>IFERROR('Cash Flow Raw Data'!E36,0)</f>
        <v>0</v>
      </c>
      <c r="F91" s="29">
        <f>IFERROR('Cash Flow Raw Data'!F36,0)</f>
        <v>0</v>
      </c>
      <c r="G91" s="29"/>
      <c r="H91" s="29">
        <v>0</v>
      </c>
      <c r="I91" s="29">
        <v>0</v>
      </c>
      <c r="J91" s="29">
        <v>0</v>
      </c>
      <c r="K91" s="29">
        <v>0</v>
      </c>
      <c r="L91" s="29">
        <v>0</v>
      </c>
    </row>
    <row r="92" spans="2:12" x14ac:dyDescent="0.3">
      <c r="B92" t="s">
        <v>216</v>
      </c>
      <c r="C92" s="29">
        <f>IFERROR('Cash Flow Raw Data'!C37,0)</f>
        <v>81627500</v>
      </c>
      <c r="D92" s="29">
        <f>IFERROR('Cash Flow Raw Data'!D37,0)</f>
        <v>230000000</v>
      </c>
      <c r="E92" s="29">
        <f>IFERROR('Cash Flow Raw Data'!E37,0)</f>
        <v>0</v>
      </c>
      <c r="F92" s="29">
        <f>IFERROR('Cash Flow Raw Data'!F37,0)</f>
        <v>0</v>
      </c>
      <c r="G92" s="29"/>
      <c r="H92" s="29">
        <v>0</v>
      </c>
      <c r="I92" s="29">
        <v>0</v>
      </c>
      <c r="J92" s="29">
        <v>0</v>
      </c>
      <c r="K92" s="29">
        <v>0</v>
      </c>
      <c r="L92" s="29">
        <v>0</v>
      </c>
    </row>
    <row r="93" spans="2:12" x14ac:dyDescent="0.3">
      <c r="B93" t="s">
        <v>217</v>
      </c>
      <c r="C93" s="29">
        <f>IFERROR('Cash Flow Raw Data'!C38,0)</f>
        <v>-36500000</v>
      </c>
      <c r="D93" s="29">
        <f>IFERROR('Cash Flow Raw Data'!D38,0)</f>
        <v>-114770000</v>
      </c>
      <c r="E93" s="29">
        <f>IFERROR('Cash Flow Raw Data'!E38,0)</f>
        <v>0</v>
      </c>
      <c r="F93" s="29">
        <f>IFERROR('Cash Flow Raw Data'!F38,0)</f>
        <v>0</v>
      </c>
      <c r="G93" s="29"/>
      <c r="H93" s="29">
        <v>0</v>
      </c>
      <c r="I93" s="29">
        <v>0</v>
      </c>
      <c r="J93" s="29">
        <v>0</v>
      </c>
      <c r="K93" s="29">
        <v>0</v>
      </c>
      <c r="L93" s="29">
        <v>0</v>
      </c>
    </row>
    <row r="94" spans="2:12" x14ac:dyDescent="0.3">
      <c r="B94" t="s">
        <v>214</v>
      </c>
      <c r="C94" s="29">
        <f>IFERROR('Cash Flow Raw Data'!C39,0)</f>
        <v>446616337</v>
      </c>
      <c r="D94" s="29">
        <f>IFERROR('Cash Flow Raw Data'!D39,0)</f>
        <v>97876082</v>
      </c>
      <c r="E94" s="29">
        <f>IFERROR('Cash Flow Raw Data'!E39,0)</f>
        <v>-222750573</v>
      </c>
      <c r="F94" s="29">
        <f>IFERROR('Cash Flow Raw Data'!F39,0)</f>
        <v>-1144291825</v>
      </c>
      <c r="G94" s="29"/>
      <c r="H94" s="29">
        <f t="shared" si="58"/>
        <v>-1478975280</v>
      </c>
      <c r="I94" s="29">
        <f t="shared" si="58"/>
        <v>-1988310394.1000004</v>
      </c>
      <c r="J94" s="29">
        <f t="shared" si="58"/>
        <v>-2497645508.2000003</v>
      </c>
      <c r="K94" s="29">
        <f t="shared" si="58"/>
        <v>-3006980622.3000002</v>
      </c>
      <c r="L94" s="29">
        <f t="shared" si="58"/>
        <v>-3516315736.4000006</v>
      </c>
    </row>
    <row r="95" spans="2:12" x14ac:dyDescent="0.3">
      <c r="B95" t="s">
        <v>196</v>
      </c>
      <c r="C95" s="29">
        <f>IFERROR('Cash Flow Raw Data'!C40,0)</f>
        <v>-35923960</v>
      </c>
      <c r="D95" s="29">
        <f>IFERROR('Cash Flow Raw Data'!D40,0)</f>
        <v>-86045187</v>
      </c>
      <c r="E95" s="29">
        <f>IFERROR('Cash Flow Raw Data'!E40,0)</f>
        <v>-84044222</v>
      </c>
      <c r="F95" s="29">
        <f>IFERROR('Cash Flow Raw Data'!F40,0)</f>
        <v>-148261930</v>
      </c>
      <c r="G95" s="29"/>
      <c r="H95" s="29">
        <f t="shared" si="58"/>
        <v>-172322061</v>
      </c>
      <c r="I95" s="29">
        <f t="shared" si="58"/>
        <v>-205823355.5</v>
      </c>
      <c r="J95" s="29">
        <f t="shared" si="58"/>
        <v>-239324650</v>
      </c>
      <c r="K95" s="29">
        <f t="shared" si="58"/>
        <v>-272825944.5</v>
      </c>
      <c r="L95" s="29">
        <f t="shared" si="58"/>
        <v>-306327239</v>
      </c>
    </row>
    <row r="96" spans="2:12" x14ac:dyDescent="0.3">
      <c r="B96" s="40" t="s">
        <v>197</v>
      </c>
      <c r="C96" s="75">
        <f>SUM(C89:C95)</f>
        <v>481917491</v>
      </c>
      <c r="D96" s="75">
        <f t="shared" ref="D96:H96" si="59">SUM(D89:D95)</f>
        <v>161219226</v>
      </c>
      <c r="E96" s="75">
        <f t="shared" si="59"/>
        <v>-222369351</v>
      </c>
      <c r="F96" s="75">
        <f t="shared" si="59"/>
        <v>-1229088782</v>
      </c>
      <c r="G96" s="75"/>
      <c r="H96" s="75">
        <f t="shared" si="59"/>
        <v>-1561583706.5</v>
      </c>
      <c r="I96" s="75">
        <f t="shared" ref="I96" si="60">SUM(I89:I95)</f>
        <v>-2080130890.9000003</v>
      </c>
      <c r="J96" s="75">
        <f t="shared" ref="J96" si="61">SUM(J89:J95)</f>
        <v>-2598678075.3000002</v>
      </c>
      <c r="K96" s="75">
        <f t="shared" ref="K96:L96" si="62">SUM(K89:K95)</f>
        <v>-3117225259.7000003</v>
      </c>
      <c r="L96" s="75">
        <f t="shared" si="62"/>
        <v>-3635772444.1000004</v>
      </c>
    </row>
    <row r="97" spans="2:12" x14ac:dyDescent="0.3">
      <c r="B97" t="s">
        <v>198</v>
      </c>
      <c r="C97" s="29">
        <f>IFERROR('Cash Flow Raw Data'!C42,0)</f>
        <v>1650973</v>
      </c>
      <c r="D97" s="29">
        <f>IFERROR('Cash Flow Raw Data'!D42,0)</f>
        <v>4317096</v>
      </c>
      <c r="E97" s="29">
        <f>IFERROR('Cash Flow Raw Data'!E42,0)</f>
        <v>1012629</v>
      </c>
      <c r="F97" s="29">
        <f>IFERROR('Cash Flow Raw Data'!F42,0)</f>
        <v>1938330</v>
      </c>
      <c r="G97" s="29"/>
      <c r="H97" s="29">
        <f t="shared" ref="H97:L99" si="63">FORECAST(H$5,$C97:$F97,$C$5:$F$5)</f>
        <v>1619158</v>
      </c>
      <c r="I97" s="29">
        <f t="shared" si="63"/>
        <v>1374918.4</v>
      </c>
      <c r="J97" s="29">
        <f t="shared" si="63"/>
        <v>1130678.8</v>
      </c>
      <c r="K97" s="29">
        <f t="shared" si="63"/>
        <v>886439.2</v>
      </c>
      <c r="L97" s="29">
        <f t="shared" si="63"/>
        <v>642199.60000000009</v>
      </c>
    </row>
    <row r="98" spans="2:12" x14ac:dyDescent="0.3">
      <c r="B98" s="2" t="s">
        <v>199</v>
      </c>
      <c r="C98" s="30">
        <f>SUM(C96:C97,C86,C78)</f>
        <v>328565287</v>
      </c>
      <c r="D98" s="30">
        <f t="shared" ref="D98:F98" si="64">SUM(D96:D97,D86,D78)</f>
        <v>414381587</v>
      </c>
      <c r="E98" s="30">
        <f t="shared" si="64"/>
        <v>199734654</v>
      </c>
      <c r="F98" s="30">
        <f t="shared" si="64"/>
        <v>204232531</v>
      </c>
      <c r="G98" s="30"/>
      <c r="H98" s="30">
        <f t="shared" ref="H98" si="65">SUM(H96:H97,H86,H78)</f>
        <v>215167066.5</v>
      </c>
      <c r="I98" s="30">
        <f t="shared" ref="I98" si="66">SUM(I96:I97,I86,I78)</f>
        <v>259427762.299999</v>
      </c>
      <c r="J98" s="30">
        <f t="shared" ref="J98" si="67">SUM(J96:J97,J86,J78)</f>
        <v>303688458.0999999</v>
      </c>
      <c r="K98" s="30">
        <f t="shared" ref="K98" si="68">SUM(K96:K97,K86,K78)</f>
        <v>347949153.89999962</v>
      </c>
      <c r="L98" s="30">
        <f>SUM(L96:L97,L86,L78)</f>
        <v>392209849.70000076</v>
      </c>
    </row>
    <row r="99" spans="2:12" x14ac:dyDescent="0.3">
      <c r="B99" t="s">
        <v>200</v>
      </c>
      <c r="C99" s="29">
        <f>IFERROR('Cash Flow Raw Data'!C44,0)</f>
        <v>1194703957</v>
      </c>
      <c r="D99" s="29">
        <f>IFERROR('Cash Flow Raw Data'!D44,0)</f>
        <v>1523269244</v>
      </c>
      <c r="E99" s="29">
        <f>IFERROR('Cash Flow Raw Data'!E44,0)</f>
        <v>1937650831</v>
      </c>
      <c r="F99" s="29">
        <f>IFERROR('Cash Flow Raw Data'!F44,0)</f>
        <v>2191474181</v>
      </c>
      <c r="G99" s="29"/>
      <c r="H99" s="29">
        <f t="shared" si="63"/>
        <v>2562947618</v>
      </c>
      <c r="I99" s="29">
        <f t="shared" si="63"/>
        <v>2903416843.8999996</v>
      </c>
      <c r="J99" s="29">
        <f t="shared" si="63"/>
        <v>3243886069.7999997</v>
      </c>
      <c r="K99" s="29">
        <f t="shared" si="63"/>
        <v>3584355295.6999998</v>
      </c>
      <c r="L99" s="29">
        <f t="shared" si="63"/>
        <v>3924824521.5999999</v>
      </c>
    </row>
    <row r="100" spans="2:12" x14ac:dyDescent="0.3">
      <c r="B100" t="s">
        <v>201</v>
      </c>
      <c r="C100" s="29">
        <f>IFERROR('Cash Flow Raw Data'!C45,0)</f>
        <v>0</v>
      </c>
      <c r="D100" s="29">
        <f>IFERROR('Cash Flow Raw Data'!D45,0)</f>
        <v>0</v>
      </c>
      <c r="E100" s="29">
        <f>IFERROR('Cash Flow Raw Data'!E45,0)</f>
        <v>54088696</v>
      </c>
      <c r="F100" s="29">
        <f>IFERROR('Cash Flow Raw Data'!F45,0)</f>
        <v>0</v>
      </c>
      <c r="G100" s="29"/>
      <c r="H100" s="29">
        <v>0</v>
      </c>
      <c r="I100" s="29">
        <v>0</v>
      </c>
      <c r="J100" s="29">
        <v>0</v>
      </c>
      <c r="K100" s="29">
        <v>0</v>
      </c>
      <c r="L100" s="29">
        <v>0</v>
      </c>
    </row>
    <row r="101" spans="2:12" x14ac:dyDescent="0.3">
      <c r="B101" s="40" t="s">
        <v>202</v>
      </c>
      <c r="C101" s="75">
        <f>SUM(C98:C100)</f>
        <v>1523269244</v>
      </c>
      <c r="D101" s="75">
        <f t="shared" ref="D101:L101" si="69">SUM(D98:D100)</f>
        <v>1937650831</v>
      </c>
      <c r="E101" s="75">
        <f t="shared" si="69"/>
        <v>2191474181</v>
      </c>
      <c r="F101" s="75">
        <f t="shared" si="69"/>
        <v>2395706712</v>
      </c>
      <c r="G101" s="75"/>
      <c r="H101" s="75">
        <f t="shared" si="69"/>
        <v>2778114684.5</v>
      </c>
      <c r="I101" s="75">
        <f t="shared" si="69"/>
        <v>3162844606.1999989</v>
      </c>
      <c r="J101" s="75">
        <f t="shared" si="69"/>
        <v>3547574527.8999996</v>
      </c>
      <c r="K101" s="75">
        <f t="shared" si="69"/>
        <v>3932304449.5999994</v>
      </c>
      <c r="L101" s="75">
        <f t="shared" si="69"/>
        <v>4317034371.3000011</v>
      </c>
    </row>
    <row r="103" spans="2:12" x14ac:dyDescent="0.3">
      <c r="C103" s="76"/>
      <c r="D103" s="76"/>
    </row>
    <row r="104" spans="2:12" x14ac:dyDescent="0.3">
      <c r="C104" s="76"/>
    </row>
    <row r="105" spans="2:12" x14ac:dyDescent="0.3">
      <c r="B105" s="2"/>
      <c r="C105" s="16"/>
    </row>
    <row r="106" spans="2:12" x14ac:dyDescent="0.3">
      <c r="C106" s="82"/>
    </row>
    <row r="107" spans="2:12" x14ac:dyDescent="0.3">
      <c r="C107" s="83"/>
    </row>
  </sheetData>
  <mergeCells count="3">
    <mergeCell ref="B2:L2"/>
    <mergeCell ref="C3:F3"/>
    <mergeCell ref="H3:L3"/>
  </mergeCells>
  <pageMargins left="0.7" right="0.7" top="0.75" bottom="0.75" header="0.3" footer="0.3"/>
  <ignoredErrors>
    <ignoredError sqref="C37 D37:F37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D2101-5688-4072-86A3-AD97E5168E97}">
  <sheetPr codeName="Sheet7"/>
  <dimension ref="B2:AA46"/>
  <sheetViews>
    <sheetView showGridLines="0" zoomScale="103" workbookViewId="0">
      <pane ySplit="5" topLeftCell="A23" activePane="bottomLeft" state="frozen"/>
      <selection pane="bottomLeft" activeCell="B41" sqref="B41"/>
    </sheetView>
  </sheetViews>
  <sheetFormatPr defaultRowHeight="14.4" x14ac:dyDescent="0.3"/>
  <cols>
    <col min="1" max="1" width="1.88671875" customWidth="1"/>
    <col min="2" max="2" width="32" bestFit="1" customWidth="1"/>
    <col min="3" max="3" width="13" bestFit="1" customWidth="1"/>
    <col min="4" max="6" width="9.21875" bestFit="1" customWidth="1"/>
    <col min="7" max="7" width="3.109375" customWidth="1"/>
    <col min="8" max="8" width="9.21875" bestFit="1" customWidth="1"/>
    <col min="9" max="12" width="10.33203125" bestFit="1" customWidth="1"/>
    <col min="13" max="13" width="20.77734375" customWidth="1"/>
  </cols>
  <sheetData>
    <row r="2" spans="2:27" x14ac:dyDescent="0.3">
      <c r="B2" s="116" t="str">
        <f>"Ratio Analysis - "&amp; +'Data Sheet'!B1</f>
        <v>Ratio Analysis - HDFC BANK LTD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</row>
    <row r="3" spans="2:27" x14ac:dyDescent="0.3">
      <c r="B3" s="46"/>
      <c r="C3" s="117" t="s">
        <v>225</v>
      </c>
      <c r="D3" s="117"/>
      <c r="E3" s="117"/>
      <c r="F3" s="117"/>
      <c r="G3" s="46"/>
      <c r="H3" s="117" t="s">
        <v>226</v>
      </c>
      <c r="I3" s="117"/>
      <c r="J3" s="117"/>
      <c r="K3" s="117"/>
      <c r="L3" s="117"/>
    </row>
    <row r="4" spans="2:27" x14ac:dyDescent="0.3">
      <c r="B4" s="31" t="s">
        <v>97</v>
      </c>
      <c r="C4" s="35">
        <f>'Data Sheet'!H56</f>
        <v>44651</v>
      </c>
      <c r="D4" s="35">
        <f>'Data Sheet'!I56</f>
        <v>45016</v>
      </c>
      <c r="E4" s="35">
        <f>'Data Sheet'!J56</f>
        <v>45382</v>
      </c>
      <c r="F4" s="35">
        <f>'Data Sheet'!K56</f>
        <v>45747</v>
      </c>
      <c r="G4" s="35"/>
      <c r="H4" s="36">
        <f>F4+365</f>
        <v>46112</v>
      </c>
      <c r="I4" s="36">
        <f>H4+365</f>
        <v>46477</v>
      </c>
      <c r="J4" s="36">
        <f>I4+365</f>
        <v>46842</v>
      </c>
      <c r="K4" s="36">
        <f>J4+365</f>
        <v>47207</v>
      </c>
      <c r="L4" s="36">
        <f>K4+365</f>
        <v>47572</v>
      </c>
    </row>
    <row r="5" spans="2:27" x14ac:dyDescent="0.3">
      <c r="B5" s="31"/>
      <c r="C5" s="31">
        <v>1</v>
      </c>
      <c r="D5" s="31">
        <v>2</v>
      </c>
      <c r="E5" s="31">
        <v>3</v>
      </c>
      <c r="F5" s="31">
        <v>4</v>
      </c>
      <c r="G5" s="31"/>
      <c r="H5" s="31">
        <v>5</v>
      </c>
      <c r="I5" s="31">
        <v>6</v>
      </c>
      <c r="J5" s="31">
        <v>7</v>
      </c>
      <c r="K5" s="31">
        <v>8</v>
      </c>
      <c r="L5" s="31">
        <v>9</v>
      </c>
    </row>
    <row r="6" spans="2:27" x14ac:dyDescent="0.3">
      <c r="B6" s="72" t="s">
        <v>277</v>
      </c>
      <c r="C6" s="38"/>
      <c r="D6" s="38"/>
      <c r="E6" s="38"/>
      <c r="F6" s="38"/>
      <c r="G6" s="38"/>
      <c r="H6" s="38"/>
      <c r="I6" s="38"/>
      <c r="J6" s="38"/>
      <c r="K6" s="38"/>
      <c r="L6" s="38"/>
    </row>
    <row r="7" spans="2:27" x14ac:dyDescent="0.3">
      <c r="B7" s="41" t="s">
        <v>260</v>
      </c>
      <c r="C7" s="42">
        <f>'3-Statement Model'!C22/'3-Statement Model'!C38</f>
        <v>0.15394603189968784</v>
      </c>
      <c r="D7" s="42">
        <f>'3-Statement Model'!D22/'3-Statement Model'!D38</f>
        <v>0.15741919203092167</v>
      </c>
      <c r="E7" s="42">
        <f>'3-Statement Model'!E22/'3-Statement Model'!E38</f>
        <v>0.13813255639355099</v>
      </c>
      <c r="F7" s="42">
        <f>'3-Statement Model'!F22/'3-Statement Model'!F38</f>
        <v>0.13431202377122115</v>
      </c>
      <c r="G7" s="42"/>
      <c r="H7" s="42">
        <f>'3-Statement Model'!H22/'3-Statement Model'!H38</f>
        <v>0.13179165149974303</v>
      </c>
      <c r="I7" s="42">
        <f>'3-Statement Model'!I22/'3-Statement Model'!I38</f>
        <v>0.12941269905500349</v>
      </c>
      <c r="J7" s="42">
        <f>'3-Statement Model'!J22/'3-Statement Model'!J38</f>
        <v>0.12760208873951645</v>
      </c>
      <c r="K7" s="42">
        <f>'3-Statement Model'!K22/'3-Statement Model'!K38</f>
        <v>0.12617788413083625</v>
      </c>
      <c r="L7" s="42">
        <f>'3-Statement Model'!L22/'3-Statement Model'!L38</f>
        <v>0.12502831629817812</v>
      </c>
    </row>
    <row r="8" spans="2:27" x14ac:dyDescent="0.3">
      <c r="B8" t="s">
        <v>261</v>
      </c>
      <c r="C8" s="73">
        <f>'3-Statement Model'!C22/Assumptions!C47</f>
        <v>1.9374797506127455E-2</v>
      </c>
      <c r="D8" s="73">
        <f>'3-Statement Model'!D22/Assumptions!D47</f>
        <v>1.9454214586735446E-2</v>
      </c>
      <c r="E8" s="73">
        <f>'3-Statement Model'!E22/Assumptions!E47</f>
        <v>1.9991857908029636E-2</v>
      </c>
      <c r="F8" s="73">
        <f>'3-Statement Model'!F22/Assumptions!F47</f>
        <v>1.7892919842734462E-2</v>
      </c>
      <c r="G8" s="73"/>
      <c r="H8" s="73">
        <f t="shared" ref="H8:L8" si="0">_xlfn.FORECAST.LINEAR(H$5,$C8:$F8,$C$5:$F$5)</f>
        <v>1.8201450043685553E-2</v>
      </c>
      <c r="I8" s="73">
        <f t="shared" si="0"/>
        <v>1.7810651076797072E-2</v>
      </c>
      <c r="J8" s="73">
        <f t="shared" si="0"/>
        <v>1.7419852109908596E-2</v>
      </c>
      <c r="K8" s="73">
        <f t="shared" si="0"/>
        <v>1.7029053143020115E-2</v>
      </c>
      <c r="L8" s="73">
        <f t="shared" si="0"/>
        <v>1.6638254176131639E-2</v>
      </c>
    </row>
    <row r="9" spans="2:27" x14ac:dyDescent="0.3">
      <c r="B9" s="43" t="s">
        <v>262</v>
      </c>
      <c r="C9" s="44">
        <f>'3-Statement Model'!C10/Assumptions!C42</f>
        <v>4.234710498103153E-2</v>
      </c>
      <c r="D9" s="44">
        <f>'3-Statement Model'!D10/Assumptions!D42</f>
        <v>4.4060605857740458E-2</v>
      </c>
      <c r="E9" s="44">
        <f>'3-Statement Model'!E10/Assumptions!E42</f>
        <v>4.0918100324262893E-2</v>
      </c>
      <c r="F9" s="44">
        <f>'3-Statement Model'!F10/Assumptions!F42</f>
        <v>3.6930775029455284E-2</v>
      </c>
      <c r="G9" s="44"/>
      <c r="H9" s="44">
        <f>_xlfn.FORECAST.LINEAR(H$5,$C9:$F9,$C$5:$F$5)</f>
        <v>3.6216272701070973E-2</v>
      </c>
      <c r="I9" s="44">
        <f t="shared" ref="I9:L9" si="1">_xlfn.FORECAST.LINEAR(I$5,$C9:$F9,$C$5:$F$5)</f>
        <v>3.4277123162250338E-2</v>
      </c>
      <c r="J9" s="44">
        <f t="shared" si="1"/>
        <v>3.233797362342971E-2</v>
      </c>
      <c r="K9" s="44">
        <f t="shared" si="1"/>
        <v>3.0398824084609078E-2</v>
      </c>
      <c r="L9" s="44">
        <f t="shared" si="1"/>
        <v>2.8459674545788446E-2</v>
      </c>
      <c r="Q9" s="37"/>
      <c r="R9" s="28"/>
      <c r="S9" s="28"/>
      <c r="T9" s="28"/>
      <c r="U9" s="28"/>
      <c r="V9" s="28"/>
      <c r="W9" s="28"/>
      <c r="X9" s="28"/>
      <c r="Y9" s="28"/>
      <c r="Z9" s="28"/>
      <c r="AA9" s="28"/>
    </row>
    <row r="10" spans="2:27" x14ac:dyDescent="0.3">
      <c r="C10" s="54"/>
      <c r="D10" s="54"/>
      <c r="E10" s="54"/>
      <c r="F10" s="54"/>
      <c r="G10" s="54"/>
      <c r="H10" s="54"/>
      <c r="I10" s="54"/>
      <c r="J10" s="54"/>
      <c r="K10" s="54"/>
      <c r="L10" s="54"/>
      <c r="Q10" s="37"/>
      <c r="R10" s="28"/>
      <c r="S10" s="28"/>
      <c r="T10" s="28"/>
      <c r="U10" s="28"/>
      <c r="V10" s="28"/>
      <c r="W10" s="28"/>
      <c r="X10" s="28"/>
      <c r="Y10" s="28"/>
      <c r="Z10" s="28"/>
      <c r="AA10" s="28"/>
    </row>
    <row r="11" spans="2:27" x14ac:dyDescent="0.3">
      <c r="B11" s="2" t="s">
        <v>278</v>
      </c>
      <c r="C11" s="73"/>
      <c r="D11" s="73"/>
      <c r="E11" s="73"/>
      <c r="F11" s="73"/>
      <c r="G11" s="73"/>
      <c r="H11" s="73"/>
      <c r="I11" s="73"/>
      <c r="J11" s="73"/>
      <c r="K11" s="73"/>
      <c r="L11" s="73"/>
      <c r="Q11" s="37"/>
      <c r="R11" s="28"/>
      <c r="S11" s="28"/>
      <c r="T11" s="28"/>
      <c r="U11" s="28"/>
      <c r="V11" s="28"/>
      <c r="W11" s="28"/>
      <c r="X11" s="28"/>
      <c r="Y11" s="28"/>
      <c r="Z11" s="28"/>
      <c r="AA11" s="28"/>
    </row>
    <row r="12" spans="2:27" x14ac:dyDescent="0.3">
      <c r="B12" s="96" t="s">
        <v>251</v>
      </c>
      <c r="C12" s="100">
        <f>'3-Statement Model'!C17/'3-Statement Model'!C12</f>
        <v>0.36881770505877232</v>
      </c>
      <c r="D12" s="100">
        <f>'3-Statement Model'!D17/'3-Statement Model'!D12</f>
        <v>0.40363609475248213</v>
      </c>
      <c r="E12" s="100">
        <f>'3-Statement Model'!E17/'3-Statement Model'!E12</f>
        <v>0.40175336419241586</v>
      </c>
      <c r="F12" s="100">
        <f>'3-Statement Model'!F17/'3-Statement Model'!F12</f>
        <v>0.40507380660142189</v>
      </c>
      <c r="G12" s="100"/>
      <c r="H12" s="100">
        <f>'3-Statement Model'!H17/'3-Statement Model'!H12</f>
        <v>0.41310932434519704</v>
      </c>
      <c r="I12" s="100">
        <f>'3-Statement Model'!I17/'3-Statement Model'!I12</f>
        <v>0.41708277483565587</v>
      </c>
      <c r="J12" s="100">
        <f>'3-Statement Model'!J17/'3-Statement Model'!J12</f>
        <v>0.42027576599750277</v>
      </c>
      <c r="K12" s="100">
        <f>'3-Statement Model'!K17/'3-Statement Model'!K12</f>
        <v>0.42289767961698727</v>
      </c>
      <c r="L12" s="100">
        <f>'3-Statement Model'!L17/'3-Statement Model'!L12</f>
        <v>0.42508914818786514</v>
      </c>
      <c r="Q12" s="37"/>
      <c r="R12" s="28"/>
      <c r="S12" s="28"/>
      <c r="T12" s="28"/>
      <c r="U12" s="28"/>
      <c r="V12" s="28"/>
      <c r="W12" s="28"/>
      <c r="X12" s="28"/>
      <c r="Y12" s="28"/>
      <c r="Z12" s="28"/>
      <c r="AA12" s="28"/>
    </row>
    <row r="13" spans="2:27" x14ac:dyDescent="0.3">
      <c r="C13" s="73"/>
      <c r="D13" s="73"/>
      <c r="E13" s="73"/>
      <c r="F13" s="73"/>
      <c r="G13" s="73"/>
      <c r="H13" s="73"/>
      <c r="I13" s="73"/>
      <c r="J13" s="73"/>
      <c r="K13" s="73"/>
      <c r="L13" s="73"/>
      <c r="Q13" s="37"/>
      <c r="R13" s="28"/>
      <c r="S13" s="28"/>
      <c r="T13" s="28"/>
      <c r="U13" s="28"/>
      <c r="V13" s="28"/>
      <c r="W13" s="28"/>
      <c r="X13" s="28"/>
      <c r="Y13" s="28"/>
      <c r="Z13" s="28"/>
      <c r="AA13" s="28"/>
    </row>
    <row r="14" spans="2:27" x14ac:dyDescent="0.3">
      <c r="B14" s="2" t="s">
        <v>279</v>
      </c>
      <c r="C14" s="73"/>
      <c r="D14" s="73"/>
      <c r="E14" s="73"/>
      <c r="F14" s="73"/>
      <c r="G14" s="73"/>
      <c r="H14" s="73"/>
      <c r="I14" s="73"/>
      <c r="J14" s="73"/>
      <c r="K14" s="73"/>
      <c r="L14" s="73"/>
      <c r="Q14" s="37"/>
      <c r="R14" s="28"/>
      <c r="S14" s="28"/>
      <c r="T14" s="28"/>
      <c r="U14" s="28"/>
      <c r="V14" s="28"/>
      <c r="W14" s="28"/>
      <c r="X14" s="28"/>
      <c r="Y14" s="28"/>
      <c r="Z14" s="28"/>
      <c r="AA14" s="28"/>
    </row>
    <row r="15" spans="2:27" x14ac:dyDescent="0.3">
      <c r="B15" s="41" t="s">
        <v>258</v>
      </c>
      <c r="C15" s="42">
        <f>Assumptions!C53/'3-Statement Model'!C48</f>
        <v>1.1791871113112933E-2</v>
      </c>
      <c r="D15" s="42">
        <f>Assumptions!D53/'3-Statement Model'!D48</f>
        <v>1.125777129487396E-2</v>
      </c>
      <c r="E15" s="42">
        <f>Assumptions!E53/'3-Statement Model'!E48</f>
        <v>1.2545294683083328E-2</v>
      </c>
      <c r="F15" s="42">
        <f>Assumptions!F53/'3-Statement Model'!F48</f>
        <v>1.3445764290924008E-2</v>
      </c>
      <c r="G15" s="42"/>
      <c r="H15" s="42">
        <f>_xlfn.FORECAST.LINEAR(H$5,$C15:$F15,$C$5:$F$5)</f>
        <v>1.3822476075909206E-2</v>
      </c>
      <c r="I15" s="42">
        <f t="shared" ref="I15:L18" si="2">_xlfn.FORECAST.LINEAR(I$5,$C15:$F15,$C$5:$F$5)</f>
        <v>1.4447396368073465E-2</v>
      </c>
      <c r="J15" s="42">
        <f t="shared" si="2"/>
        <v>1.5072316660237724E-2</v>
      </c>
      <c r="K15" s="42">
        <f t="shared" si="2"/>
        <v>1.5697236952401983E-2</v>
      </c>
      <c r="L15" s="42">
        <f t="shared" si="2"/>
        <v>1.6322157244566243E-2</v>
      </c>
      <c r="Q15" s="37"/>
      <c r="R15" s="28"/>
      <c r="S15" s="28"/>
      <c r="T15" s="28"/>
      <c r="U15" s="28"/>
      <c r="V15" s="28"/>
      <c r="W15" s="28"/>
      <c r="X15" s="28"/>
      <c r="Y15" s="28"/>
      <c r="Z15" s="28"/>
      <c r="AA15" s="28"/>
    </row>
    <row r="16" spans="2:27" x14ac:dyDescent="0.3">
      <c r="B16" t="s">
        <v>257</v>
      </c>
      <c r="C16" s="73">
        <f>(Assumptions!C53-Assumptions!C54)/('3-Statement Model'!C48-Assumptions!C54)</f>
        <v>3.2478963281796455E-3</v>
      </c>
      <c r="D16" s="73">
        <f>(Assumptions!D53-Assumptions!D54)/('3-Statement Model'!D48-Assumptions!D54)</f>
        <v>2.7527461264488873E-3</v>
      </c>
      <c r="E16" s="73">
        <f>(Assumptions!E53-Assumptions!E54)/('3-Statement Model'!E48-Assumptions!E54)</f>
        <v>3.2869469250546976E-3</v>
      </c>
      <c r="F16" s="73">
        <f>(Assumptions!F53-Assumptions!F54)/('3-Statement Model'!F48-Assumptions!F54)</f>
        <v>4.3612135675419163E-3</v>
      </c>
      <c r="G16" s="73"/>
      <c r="H16" s="73">
        <f>_xlfn.FORECAST.LINEAR(H$5,$C16:$F16,$C$5:$F$5)</f>
        <v>4.380738865979443E-3</v>
      </c>
      <c r="I16" s="73">
        <f t="shared" si="2"/>
        <v>4.7681541176487052E-3</v>
      </c>
      <c r="J16" s="73">
        <f t="shared" si="2"/>
        <v>5.1555693693179673E-3</v>
      </c>
      <c r="K16" s="73">
        <f t="shared" si="2"/>
        <v>5.5429846209872295E-3</v>
      </c>
      <c r="L16" s="73">
        <f t="shared" si="2"/>
        <v>5.9303998726564916E-3</v>
      </c>
      <c r="Q16" s="37"/>
      <c r="R16" s="28"/>
      <c r="S16" s="28"/>
      <c r="T16" s="28"/>
      <c r="U16" s="28"/>
      <c r="V16" s="28"/>
      <c r="W16" s="28"/>
      <c r="X16" s="28"/>
      <c r="Y16" s="28"/>
      <c r="Z16" s="28"/>
      <c r="AA16" s="28"/>
    </row>
    <row r="17" spans="2:27" x14ac:dyDescent="0.3">
      <c r="B17" t="s">
        <v>256</v>
      </c>
      <c r="C17" s="73">
        <f>Assumptions!C54/Assumptions!C53</f>
        <v>0.72692578384433149</v>
      </c>
      <c r="D17" s="73">
        <f>Assumptions!D54/Assumptions!D53</f>
        <v>0.75756575131957704</v>
      </c>
      <c r="E17" s="73">
        <f>Assumptions!E54/Assumptions!E53</f>
        <v>0.74042739111522282</v>
      </c>
      <c r="F17" s="73">
        <f>Assumptions!F54/Assumptions!F53</f>
        <v>0.67860359132648773</v>
      </c>
      <c r="G17" s="73"/>
      <c r="H17" s="73">
        <f>_xlfn.FORECAST.LINEAR(H$5,$C17:$F17,$C$5:$F$5)</f>
        <v>0.6853543949619334</v>
      </c>
      <c r="I17" s="73">
        <f t="shared" si="2"/>
        <v>0.66914390118614486</v>
      </c>
      <c r="J17" s="73">
        <f t="shared" si="2"/>
        <v>0.65293340741035621</v>
      </c>
      <c r="K17" s="73">
        <f t="shared" si="2"/>
        <v>0.63672291363456768</v>
      </c>
      <c r="L17" s="73">
        <f t="shared" si="2"/>
        <v>0.62051241985877914</v>
      </c>
      <c r="Q17" s="37"/>
      <c r="R17" s="28"/>
      <c r="S17" s="28"/>
      <c r="T17" s="28"/>
      <c r="U17" s="28"/>
      <c r="V17" s="28"/>
      <c r="W17" s="28"/>
      <c r="X17" s="28"/>
      <c r="Y17" s="28"/>
      <c r="Z17" s="28"/>
      <c r="AA17" s="28"/>
    </row>
    <row r="18" spans="2:27" x14ac:dyDescent="0.3">
      <c r="B18" s="43" t="s">
        <v>259</v>
      </c>
      <c r="C18" s="44">
        <f>Assumptions!C54/(SUM(Assumptions!C35,Assumptions!C39)/2)</f>
        <v>9.3804045580183539E-3</v>
      </c>
      <c r="D18" s="44">
        <f>Assumptions!D54/(SUM(Assumptions!D35,Assumptions!D39)/2)</f>
        <v>9.1941594904758079E-3</v>
      </c>
      <c r="E18" s="44">
        <f>Assumptions!E54/(SUM(Assumptions!E35,Assumptions!E39)/2)</f>
        <v>1.1299413569140807E-2</v>
      </c>
      <c r="F18" s="44">
        <f>Assumptions!F54/(SUM(Assumptions!F35,Assumptions!F39)/2)</f>
        <v>9.3652071081362712E-3</v>
      </c>
      <c r="G18" s="44"/>
      <c r="H18" s="44">
        <f>_xlfn.FORECAST.LINEAR(H$5,$C18:$F18,$C$5:$F$5)</f>
        <v>1.0324711613697496E-2</v>
      </c>
      <c r="I18" s="44">
        <f t="shared" si="2"/>
        <v>1.0530677786599371E-2</v>
      </c>
      <c r="J18" s="44">
        <f t="shared" si="2"/>
        <v>1.0736643959501246E-2</v>
      </c>
      <c r="K18" s="44">
        <f t="shared" si="2"/>
        <v>1.0942610132403122E-2</v>
      </c>
      <c r="L18" s="44">
        <f t="shared" si="2"/>
        <v>1.1148576305304997E-2</v>
      </c>
      <c r="Q18" s="37"/>
      <c r="R18" s="28"/>
      <c r="S18" s="28"/>
      <c r="T18" s="28"/>
      <c r="U18" s="28"/>
      <c r="V18" s="28"/>
      <c r="W18" s="28"/>
      <c r="X18" s="28"/>
      <c r="Y18" s="28"/>
      <c r="Z18" s="28"/>
      <c r="AA18" s="28"/>
    </row>
    <row r="19" spans="2:27" x14ac:dyDescent="0.3">
      <c r="C19" s="73"/>
      <c r="D19" s="73"/>
      <c r="E19" s="73"/>
      <c r="F19" s="73"/>
      <c r="G19" s="73"/>
      <c r="H19" s="73"/>
      <c r="I19" s="73"/>
      <c r="J19" s="73"/>
      <c r="K19" s="73"/>
      <c r="L19" s="73"/>
      <c r="Q19" s="37"/>
      <c r="R19" s="28"/>
      <c r="S19" s="28"/>
      <c r="T19" s="28"/>
      <c r="U19" s="28"/>
      <c r="V19" s="28"/>
      <c r="W19" s="28"/>
      <c r="X19" s="28"/>
      <c r="Y19" s="28"/>
      <c r="Z19" s="28"/>
      <c r="AA19" s="28"/>
    </row>
    <row r="20" spans="2:27" x14ac:dyDescent="0.3">
      <c r="B20" s="2" t="s">
        <v>280</v>
      </c>
      <c r="C20" s="73"/>
      <c r="D20" s="73"/>
      <c r="E20" s="73"/>
      <c r="F20" s="73"/>
      <c r="G20" s="73"/>
      <c r="H20" s="73"/>
      <c r="I20" s="73"/>
      <c r="J20" s="73"/>
      <c r="K20" s="73"/>
      <c r="L20" s="73"/>
      <c r="Q20" s="37"/>
      <c r="R20" s="28"/>
      <c r="S20" s="28"/>
      <c r="T20" s="28"/>
      <c r="U20" s="28"/>
      <c r="V20" s="28"/>
      <c r="W20" s="28"/>
      <c r="X20" s="28"/>
      <c r="Y20" s="28"/>
      <c r="Z20" s="28"/>
      <c r="AA20" s="28"/>
    </row>
    <row r="21" spans="2:27" x14ac:dyDescent="0.3">
      <c r="B21" s="43" t="s">
        <v>263</v>
      </c>
      <c r="C21" s="44">
        <f>Assumptions!C16</f>
        <v>0.17660000000000001</v>
      </c>
      <c r="D21" s="44">
        <f>Assumptions!D16</f>
        <v>0.18390000000000001</v>
      </c>
      <c r="E21" s="44">
        <f>Assumptions!E16</f>
        <v>0.19969999999999999</v>
      </c>
      <c r="F21" s="44">
        <f>Assumptions!F16</f>
        <v>0.19672023472910657</v>
      </c>
      <c r="G21" s="44"/>
      <c r="H21" s="44">
        <f>_xlfn.FORECAST.LINEAR(H$5,$C21:$F21,$C$5:$F$5)</f>
        <v>0.20827023472910658</v>
      </c>
      <c r="I21" s="44">
        <f>_xlfn.FORECAST.LINEAR(I$5,$C21:$F21,$C$5:$F$5)</f>
        <v>0.21588630514783855</v>
      </c>
      <c r="J21" s="44">
        <f>_xlfn.FORECAST.LINEAR(J$5,$C21:$F21,$C$5:$F$5)</f>
        <v>0.22350237556657052</v>
      </c>
      <c r="K21" s="44">
        <f>_xlfn.FORECAST.LINEAR(K$5,$C21:$F21,$C$5:$F$5)</f>
        <v>0.23111844598530248</v>
      </c>
      <c r="L21" s="44">
        <f>_xlfn.FORECAST.LINEAR(L$5,$C21:$F21,$C$5:$F$5)</f>
        <v>0.23873451640403445</v>
      </c>
      <c r="Q21" s="37"/>
      <c r="R21" s="28"/>
      <c r="S21" s="28"/>
      <c r="T21" s="28"/>
      <c r="U21" s="28"/>
      <c r="V21" s="28"/>
      <c r="W21" s="28"/>
      <c r="X21" s="28"/>
      <c r="Y21" s="28"/>
      <c r="Z21" s="28"/>
      <c r="AA21" s="28"/>
    </row>
    <row r="22" spans="2:27" x14ac:dyDescent="0.3">
      <c r="C22" s="73"/>
      <c r="D22" s="73"/>
      <c r="E22" s="73"/>
      <c r="F22" s="73"/>
      <c r="G22" s="73"/>
      <c r="H22" s="73"/>
      <c r="I22" s="73"/>
      <c r="J22" s="73"/>
      <c r="K22" s="73"/>
      <c r="L22" s="73"/>
      <c r="Q22" s="37"/>
      <c r="R22" s="28"/>
      <c r="S22" s="28"/>
      <c r="T22" s="28"/>
      <c r="U22" s="28"/>
      <c r="V22" s="28"/>
      <c r="W22" s="28"/>
      <c r="X22" s="28"/>
      <c r="Y22" s="28"/>
      <c r="Z22" s="28"/>
      <c r="AA22" s="28"/>
    </row>
    <row r="23" spans="2:27" x14ac:dyDescent="0.3">
      <c r="B23" s="2" t="s">
        <v>281</v>
      </c>
      <c r="C23" s="73"/>
      <c r="D23" s="73"/>
      <c r="E23" s="73"/>
      <c r="F23" s="73"/>
      <c r="G23" s="73"/>
      <c r="H23" s="73"/>
      <c r="I23" s="73"/>
      <c r="J23" s="73"/>
      <c r="K23" s="73"/>
      <c r="L23" s="73"/>
      <c r="Q23" s="37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spans="2:27" x14ac:dyDescent="0.3">
      <c r="B24" s="41" t="s">
        <v>254</v>
      </c>
      <c r="C24" s="42">
        <f>'3-Statement Model'!C48/'3-Statement Model'!C39</f>
        <v>0.87788970048975334</v>
      </c>
      <c r="D24" s="42">
        <f>'3-Statement Model'!D48/'3-Statement Model'!D39</f>
        <v>0.84984095242301527</v>
      </c>
      <c r="E24" s="42">
        <f>'3-Statement Model'!E48/'3-Statement Model'!E39</f>
        <v>1.0441532264649209</v>
      </c>
      <c r="F24" s="42">
        <f>'3-Statement Model'!F48/'3-Statement Model'!F39</f>
        <v>0.96496638415192781</v>
      </c>
      <c r="G24" s="42"/>
      <c r="H24" s="42">
        <f>'3-Statement Model'!H48/'3-Statement Model'!H39</f>
        <v>1.0168414746405015</v>
      </c>
      <c r="I24" s="42">
        <f>'3-Statement Model'!I48/'3-Statement Model'!I39</f>
        <v>1.034079880504218</v>
      </c>
      <c r="J24" s="42">
        <f>'3-Statement Model'!J48/'3-Statement Model'!J39</f>
        <v>1.0478307317799476</v>
      </c>
      <c r="K24" s="42">
        <f>'3-Statement Model'!K48/'3-Statement Model'!K39</f>
        <v>1.059055169520577</v>
      </c>
      <c r="L24" s="42">
        <f>'3-Statement Model'!L48/'3-Statement Model'!L39</f>
        <v>1.0683908726266347</v>
      </c>
      <c r="Q24" s="37"/>
      <c r="R24" s="28"/>
      <c r="S24" s="28"/>
      <c r="T24" s="28"/>
      <c r="U24" s="28"/>
      <c r="V24" s="28"/>
      <c r="W24" s="28"/>
      <c r="X24" s="28"/>
      <c r="Y24" s="28"/>
      <c r="Z24" s="28"/>
      <c r="AA24" s="28"/>
    </row>
    <row r="25" spans="2:27" x14ac:dyDescent="0.3">
      <c r="B25" s="43" t="s">
        <v>255</v>
      </c>
      <c r="C25" s="44">
        <f>Assumptions!C23/Assumptions!C25</f>
        <v>0.48168339048336961</v>
      </c>
      <c r="D25" s="44">
        <f>Assumptions!D23/Assumptions!D25</f>
        <v>0.44387344831967734</v>
      </c>
      <c r="E25" s="44">
        <f>Assumptions!E23/Assumptions!E25</f>
        <v>0.381867479786766</v>
      </c>
      <c r="F25" s="44">
        <f>Assumptions!F23/Assumptions!F25</f>
        <v>0.3479408628606111</v>
      </c>
      <c r="G25" s="44"/>
      <c r="H25" s="44">
        <f>_xlfn.FORECAST.LINEAR(H$5,$C25:$F25,$C$5:$F$5)</f>
        <v>0.29803290751230926</v>
      </c>
      <c r="I25" s="44">
        <f>Assumptions!H23/Assumptions!H25</f>
        <v>0.35</v>
      </c>
      <c r="J25" s="44">
        <f>Assumptions!I23/Assumptions!I25</f>
        <v>0.36</v>
      </c>
      <c r="K25" s="44">
        <f>Assumptions!J23/Assumptions!J25</f>
        <v>0.37</v>
      </c>
      <c r="L25" s="44">
        <f>Assumptions!K23/Assumptions!K25</f>
        <v>0.39</v>
      </c>
      <c r="Q25" s="37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 spans="2:27" x14ac:dyDescent="0.3">
      <c r="C26" s="73"/>
      <c r="D26" s="73"/>
      <c r="E26" s="73"/>
      <c r="F26" s="73"/>
      <c r="G26" s="73"/>
      <c r="H26" s="73"/>
      <c r="I26" s="73"/>
      <c r="J26" s="73"/>
      <c r="K26" s="73"/>
      <c r="L26" s="73"/>
      <c r="Q26" s="37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 spans="2:27" x14ac:dyDescent="0.3">
      <c r="B27" s="2" t="s">
        <v>282</v>
      </c>
      <c r="C27" s="54"/>
      <c r="D27" s="54"/>
      <c r="E27" s="54"/>
      <c r="F27" s="54"/>
      <c r="G27" s="54"/>
      <c r="H27" s="54"/>
      <c r="I27" s="54"/>
      <c r="J27" s="54"/>
      <c r="K27" s="54"/>
      <c r="L27" s="54"/>
      <c r="Q27" s="37"/>
      <c r="R27" s="28"/>
      <c r="S27" s="28"/>
      <c r="T27" s="28"/>
      <c r="U27" s="28"/>
      <c r="V27" s="28"/>
      <c r="W27" s="28"/>
      <c r="X27" s="28"/>
      <c r="Y27" s="28"/>
      <c r="Z27" s="28"/>
      <c r="AA27" s="28"/>
    </row>
    <row r="28" spans="2:27" x14ac:dyDescent="0.3">
      <c r="B28" s="41" t="s">
        <v>138</v>
      </c>
      <c r="C28" s="42" t="s">
        <v>95</v>
      </c>
      <c r="D28" s="42">
        <f>'3-Statement Model'!D48/'3-Statement Model'!C48-1</f>
        <v>0.16931723009448429</v>
      </c>
      <c r="E28" s="42">
        <f>'3-Statement Model'!E48/'3-Statement Model'!D48-1</f>
        <v>0.55246995415866174</v>
      </c>
      <c r="F28" s="42">
        <f>'3-Statement Model'!F48/'3-Statement Model'!E48-1</f>
        <v>5.4227206337467138E-2</v>
      </c>
      <c r="G28" s="42"/>
      <c r="H28" s="42">
        <f>'3-Statement Model'!H48/'3-Statement Model'!F48-1</f>
        <v>0.21301666594674296</v>
      </c>
      <c r="I28" s="42">
        <f>'3-Statement Model'!I48/'3-Statement Model'!H48-1</f>
        <v>0.14591504565373214</v>
      </c>
      <c r="J28" s="42">
        <f>'3-Statement Model'!J48/'3-Statement Model'!I48-1</f>
        <v>0.12733495925999372</v>
      </c>
      <c r="K28" s="42">
        <f>'3-Statement Model'!K48/'3-Statement Model'!J48-1</f>
        <v>0.1129521959858133</v>
      </c>
      <c r="L28" s="42">
        <f>'3-Statement Model'!L48/'3-Statement Model'!K48-1</f>
        <v>0.10148881182247393</v>
      </c>
    </row>
    <row r="29" spans="2:27" x14ac:dyDescent="0.3">
      <c r="B29" t="s">
        <v>125</v>
      </c>
      <c r="C29" s="73" t="s">
        <v>95</v>
      </c>
      <c r="D29" s="73">
        <f>'3-Statement Model'!D39/'3-Statement Model'!C39-1</f>
        <v>0.20791019775920416</v>
      </c>
      <c r="E29" s="73">
        <f>'3-Statement Model'!E39/'3-Statement Model'!D39-1</f>
        <v>0.2635621966299948</v>
      </c>
      <c r="F29" s="73">
        <f>'3-Statement Model'!F39/'3-Statement Model'!E39-1</f>
        <v>0.14073894904825668</v>
      </c>
      <c r="G29" s="73"/>
      <c r="H29" s="73">
        <f>'3-Statement Model'!H39/'3-Statement Model'!F39-1</f>
        <v>0.15113352006858904</v>
      </c>
      <c r="I29" s="73">
        <f>'3-Statement Model'!I39/'3-Statement Model'!H39-1</f>
        <v>0.12681231576338137</v>
      </c>
      <c r="J29" s="73">
        <f>'3-Statement Model'!J39/'3-Statement Model'!I39-1</f>
        <v>0.11254076121582868</v>
      </c>
      <c r="K29" s="73">
        <f>'3-Statement Model'!K39/'3-Statement Model'!J39-1</f>
        <v>0.1011565284968432</v>
      </c>
      <c r="L29" s="73">
        <f>'3-Statement Model'!L39/'3-Statement Model'!K39-1</f>
        <v>9.1863895712382515E-2</v>
      </c>
    </row>
    <row r="30" spans="2:27" x14ac:dyDescent="0.3">
      <c r="B30" t="s">
        <v>264</v>
      </c>
      <c r="C30" s="101" t="s">
        <v>95</v>
      </c>
      <c r="D30" s="101">
        <f>'3-Statement Model'!D10/'3-Statement Model'!C10-1</f>
        <v>0.20598129102827611</v>
      </c>
      <c r="E30" s="101">
        <f>'3-Statement Model'!E10/'3-Statement Model'!D10-1</f>
        <v>0.24976624791328184</v>
      </c>
      <c r="F30" s="101">
        <f>'3-Statement Model'!F10/'3-Statement Model'!E10-1</f>
        <v>0.13026160454811775</v>
      </c>
      <c r="G30" s="101"/>
      <c r="H30" s="101">
        <f>'3-Statement Model'!H10/'3-Statement Model'!F10-1</f>
        <v>0.14886629698295928</v>
      </c>
      <c r="I30" s="101">
        <f>'3-Statement Model'!I10/'3-Statement Model'!H10-1</f>
        <v>0.12323129429654034</v>
      </c>
      <c r="J30" s="101">
        <f>'3-Statement Model'!J10/'3-Statement Model'!I10-1</f>
        <v>0.10971141466791035</v>
      </c>
      <c r="K30" s="101">
        <f>'3-Statement Model'!K10/'3-Statement Model'!J10-1</f>
        <v>9.8864815859123212E-2</v>
      </c>
      <c r="L30" s="101">
        <f>'3-Statement Model'!L10/'3-Statement Model'!K10-1</f>
        <v>8.9969953020862414E-2</v>
      </c>
    </row>
    <row r="31" spans="2:27" x14ac:dyDescent="0.3">
      <c r="B31" s="43" t="s">
        <v>265</v>
      </c>
      <c r="C31" s="44" t="s">
        <v>95</v>
      </c>
      <c r="D31" s="44">
        <f>'3-Statement Model'!D22/'3-Statement Model'!C22-1</f>
        <v>0.19337348864307868</v>
      </c>
      <c r="E31" s="44">
        <f>'3-Statement Model'!E22/'3-Statement Model'!D22-1</f>
        <v>0.37869120082506003</v>
      </c>
      <c r="F31" s="44">
        <f>'3-Statement Model'!F22/'3-Statement Model'!E22-1</f>
        <v>0.10746315976304022</v>
      </c>
      <c r="G31" s="44"/>
      <c r="H31" s="44">
        <f>'3-Statement Model'!H22/'3-Statement Model'!F22-1</f>
        <v>0.17707393409987371</v>
      </c>
      <c r="I31" s="44">
        <f>'3-Statement Model'!I22/'3-Statement Model'!H22-1</f>
        <v>0.1360637683132242</v>
      </c>
      <c r="J31" s="44">
        <f>'3-Statement Model'!J22/'3-Statement Model'!I22-1</f>
        <v>0.11976772088704646</v>
      </c>
      <c r="K31" s="44">
        <f>'3-Statement Model'!K22/'3-Statement Model'!J22-1</f>
        <v>0.1069576472450644</v>
      </c>
      <c r="L31" s="44">
        <f>'3-Statement Model'!L22/'3-Statement Model'!K22-1</f>
        <v>9.6623070910847098E-2</v>
      </c>
    </row>
    <row r="32" spans="2:27" x14ac:dyDescent="0.3">
      <c r="C32" s="45"/>
      <c r="D32" s="45"/>
      <c r="E32" s="45"/>
      <c r="F32" s="45"/>
      <c r="G32" s="45"/>
      <c r="H32" s="45"/>
      <c r="I32" s="45"/>
      <c r="J32" s="45"/>
      <c r="K32" s="45"/>
      <c r="L32" s="45"/>
    </row>
    <row r="33" spans="2:12" x14ac:dyDescent="0.3">
      <c r="B33" s="104" t="s">
        <v>122</v>
      </c>
      <c r="C33" s="45"/>
      <c r="D33" s="45"/>
      <c r="E33" s="45"/>
      <c r="F33" s="45"/>
      <c r="G33" s="45"/>
      <c r="H33" s="45"/>
      <c r="I33" s="45"/>
      <c r="J33" s="45"/>
      <c r="K33" s="45"/>
      <c r="L33" s="45"/>
    </row>
    <row r="34" spans="2:12" x14ac:dyDescent="0.3">
      <c r="B34" s="104" t="s">
        <v>287</v>
      </c>
    </row>
    <row r="35" spans="2:12" x14ac:dyDescent="0.3">
      <c r="B35" s="104" t="s">
        <v>288</v>
      </c>
      <c r="C35" s="45"/>
      <c r="D35" s="45"/>
      <c r="E35" s="45"/>
      <c r="F35" s="45"/>
      <c r="G35" s="45"/>
      <c r="H35" s="45"/>
      <c r="I35" s="45"/>
      <c r="J35" s="45"/>
      <c r="K35" s="45"/>
      <c r="L35" s="45"/>
    </row>
    <row r="36" spans="2:12" x14ac:dyDescent="0.3">
      <c r="B36" s="104" t="s">
        <v>299</v>
      </c>
      <c r="C36" s="45"/>
      <c r="D36" s="45"/>
      <c r="E36" s="45"/>
      <c r="F36" s="45"/>
      <c r="G36" s="45"/>
      <c r="H36" s="45"/>
      <c r="I36" s="45"/>
      <c r="J36" s="45"/>
      <c r="K36" s="45"/>
      <c r="L36" s="45"/>
    </row>
    <row r="37" spans="2:12" x14ac:dyDescent="0.3">
      <c r="B37" s="104" t="s">
        <v>300</v>
      </c>
      <c r="C37" s="45"/>
      <c r="D37" s="45"/>
      <c r="E37" s="45"/>
      <c r="F37" s="45"/>
      <c r="G37" s="45"/>
      <c r="H37" s="45"/>
      <c r="I37" s="45"/>
      <c r="J37" s="45"/>
      <c r="K37" s="45"/>
      <c r="L37" s="45"/>
    </row>
    <row r="39" spans="2:12" x14ac:dyDescent="0.3">
      <c r="B39" s="39"/>
    </row>
    <row r="40" spans="2:12" x14ac:dyDescent="0.3">
      <c r="C40" s="95"/>
      <c r="D40" s="95"/>
      <c r="E40" s="95"/>
      <c r="F40" s="95"/>
      <c r="G40" s="95"/>
      <c r="H40" s="95"/>
      <c r="I40" s="95"/>
      <c r="J40" s="95"/>
      <c r="K40" s="95"/>
      <c r="L40" s="95"/>
    </row>
    <row r="42" spans="2:12" x14ac:dyDescent="0.3">
      <c r="B42" s="39"/>
    </row>
    <row r="43" spans="2:12" x14ac:dyDescent="0.3">
      <c r="C43" s="70"/>
      <c r="D43" s="70"/>
      <c r="E43" s="70"/>
      <c r="F43" s="70"/>
      <c r="G43" s="70"/>
      <c r="H43" s="70"/>
      <c r="I43" s="70"/>
      <c r="J43" s="70"/>
      <c r="K43" s="70"/>
      <c r="L43" s="70"/>
    </row>
    <row r="44" spans="2:12" x14ac:dyDescent="0.3">
      <c r="C44" s="70"/>
      <c r="D44" s="70"/>
      <c r="E44" s="70"/>
      <c r="F44" s="70"/>
      <c r="G44" s="70"/>
      <c r="H44" s="70"/>
      <c r="I44" s="70"/>
      <c r="J44" s="70"/>
      <c r="K44" s="70"/>
      <c r="L44" s="70"/>
    </row>
    <row r="45" spans="2:12" x14ac:dyDescent="0.3">
      <c r="C45" s="70"/>
      <c r="D45" s="70"/>
      <c r="E45" s="70"/>
      <c r="F45" s="70"/>
      <c r="G45" s="70"/>
      <c r="H45" s="70"/>
      <c r="I45" s="70"/>
      <c r="J45" s="70"/>
      <c r="K45" s="70"/>
      <c r="L45" s="70"/>
    </row>
    <row r="46" spans="2:12" x14ac:dyDescent="0.3">
      <c r="B46" s="2"/>
      <c r="C46" s="71"/>
      <c r="D46" s="71"/>
      <c r="E46" s="71"/>
      <c r="F46" s="71"/>
      <c r="G46" s="71"/>
      <c r="H46" s="71"/>
      <c r="I46" s="71"/>
      <c r="J46" s="71"/>
      <c r="K46" s="71"/>
      <c r="L46" s="71"/>
    </row>
  </sheetData>
  <mergeCells count="3">
    <mergeCell ref="B2:L2"/>
    <mergeCell ref="C3:F3"/>
    <mergeCell ref="H3:L3"/>
  </mergeCells>
  <pageMargins left="0.7" right="0.7" top="0.75" bottom="0.75" header="0.3" footer="0.3"/>
  <pageSetup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 low="1" xr2:uid="{7D0BE827-F51F-4F7F-ACF1-37C5996D2E44}">
          <x14:colorSeries rgb="FFCFF9D0"/>
          <x14:colorNegative rgb="FFD00000"/>
          <x14:colorAxis rgb="FF000000"/>
          <x14:colorMarkers theme="1"/>
          <x14:colorFirst rgb="FFD00000"/>
          <x14:colorLast rgb="FFD00000"/>
          <x14:colorHigh rgb="FF00B050"/>
          <x14:colorLow theme="5"/>
          <x14:sparklines>
            <x14:sparkline>
              <xm:f>'Ratio Analysis'!C7:L7</xm:f>
              <xm:sqref>M7</xm:sqref>
            </x14:sparkline>
            <x14:sparkline>
              <xm:f>'Ratio Analysis'!C8:L8</xm:f>
              <xm:sqref>M8</xm:sqref>
            </x14:sparkline>
            <x14:sparkline>
              <xm:f>'Ratio Analysis'!C9:L9</xm:f>
              <xm:sqref>M9</xm:sqref>
            </x14:sparkline>
            <x14:sparkline>
              <xm:f>'Ratio Analysis'!C10:L10</xm:f>
              <xm:sqref>M10</xm:sqref>
            </x14:sparkline>
            <x14:sparkline>
              <xm:f>'Ratio Analysis'!C11:L11</xm:f>
              <xm:sqref>M11</xm:sqref>
            </x14:sparkline>
            <x14:sparkline>
              <xm:f>'Ratio Analysis'!C12:L12</xm:f>
              <xm:sqref>M12</xm:sqref>
            </x14:sparkline>
            <x14:sparkline>
              <xm:f>'Ratio Analysis'!C13:L13</xm:f>
              <xm:sqref>M13</xm:sqref>
            </x14:sparkline>
            <x14:sparkline>
              <xm:f>'Ratio Analysis'!C14:L14</xm:f>
              <xm:sqref>M14</xm:sqref>
            </x14:sparkline>
            <x14:sparkline>
              <xm:f>'Ratio Analysis'!C15:L15</xm:f>
              <xm:sqref>M15</xm:sqref>
            </x14:sparkline>
            <x14:sparkline>
              <xm:f>'Ratio Analysis'!C16:L16</xm:f>
              <xm:sqref>M16</xm:sqref>
            </x14:sparkline>
            <x14:sparkline>
              <xm:f>'Ratio Analysis'!C17:L17</xm:f>
              <xm:sqref>M17</xm:sqref>
            </x14:sparkline>
            <x14:sparkline>
              <xm:f>'Ratio Analysis'!C18:L18</xm:f>
              <xm:sqref>M18</xm:sqref>
            </x14:sparkline>
            <x14:sparkline>
              <xm:f>'Ratio Analysis'!C19:L19</xm:f>
              <xm:sqref>M19</xm:sqref>
            </x14:sparkline>
            <x14:sparkline>
              <xm:f>'Ratio Analysis'!C20:L20</xm:f>
              <xm:sqref>M20</xm:sqref>
            </x14:sparkline>
            <x14:sparkline>
              <xm:f>'Ratio Analysis'!C21:L21</xm:f>
              <xm:sqref>M21</xm:sqref>
            </x14:sparkline>
            <x14:sparkline>
              <xm:f>'Ratio Analysis'!C22:L22</xm:f>
              <xm:sqref>M22</xm:sqref>
            </x14:sparkline>
            <x14:sparkline>
              <xm:f>'Ratio Analysis'!C23:L23</xm:f>
              <xm:sqref>M23</xm:sqref>
            </x14:sparkline>
            <x14:sparkline>
              <xm:f>'Ratio Analysis'!C24:L24</xm:f>
              <xm:sqref>M24</xm:sqref>
            </x14:sparkline>
            <x14:sparkline>
              <xm:f>'Ratio Analysis'!C25:L25</xm:f>
              <xm:sqref>M25</xm:sqref>
            </x14:sparkline>
            <x14:sparkline>
              <xm:f>'Ratio Analysis'!C26:L26</xm:f>
              <xm:sqref>M26</xm:sqref>
            </x14:sparkline>
            <x14:sparkline>
              <xm:f>'Ratio Analysis'!C27:L27</xm:f>
              <xm:sqref>M27</xm:sqref>
            </x14:sparkline>
            <x14:sparkline>
              <xm:f>'Ratio Analysis'!C28:L28</xm:f>
              <xm:sqref>M28</xm:sqref>
            </x14:sparkline>
            <x14:sparkline>
              <xm:f>'Ratio Analysis'!C29:L29</xm:f>
              <xm:sqref>M29</xm:sqref>
            </x14:sparkline>
            <x14:sparkline>
              <xm:f>'Ratio Analysis'!C30:L30</xm:f>
              <xm:sqref>M30</xm:sqref>
            </x14:sparkline>
            <x14:sparkline>
              <xm:f>'Ratio Analysis'!C31:L31</xm:f>
              <xm:sqref>M31</xm:sqref>
            </x14:sparkline>
          </x14:sparklines>
        </x14:sparklineGroup>
      </x14:sparklineGroup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9EC39-5DC3-4E0B-97A8-A20EE98286E6}">
  <dimension ref="A2:L36"/>
  <sheetViews>
    <sheetView showGridLines="0" zoomScale="85" workbookViewId="0">
      <pane ySplit="4" topLeftCell="A5" activePane="bottomLeft" state="frozen"/>
      <selection pane="bottomLeft" activeCell="B18" sqref="B18"/>
    </sheetView>
  </sheetViews>
  <sheetFormatPr defaultRowHeight="14.4" x14ac:dyDescent="0.3"/>
  <cols>
    <col min="1" max="1" width="1.88671875" customWidth="1"/>
    <col min="2" max="2" width="29.21875" style="20" bestFit="1" customWidth="1"/>
    <col min="3" max="3" width="11" style="54" bestFit="1" customWidth="1"/>
    <col min="4" max="4" width="17.88671875" style="54" bestFit="1" customWidth="1"/>
    <col min="5" max="5" width="20.33203125" style="54" customWidth="1"/>
    <col min="6" max="6" width="10.77734375" style="54" bestFit="1" customWidth="1"/>
    <col min="7" max="7" width="9.77734375" style="54" bestFit="1" customWidth="1"/>
    <col min="8" max="8" width="6.33203125" style="54" customWidth="1"/>
    <col min="9" max="9" width="11.21875" style="54" bestFit="1" customWidth="1"/>
    <col min="10" max="10" width="6.109375" style="54" customWidth="1"/>
    <col min="11" max="11" width="17" style="54" bestFit="1" customWidth="1"/>
    <col min="12" max="12" width="14.44140625" style="54" bestFit="1" customWidth="1"/>
  </cols>
  <sheetData>
    <row r="2" spans="2:12" x14ac:dyDescent="0.3">
      <c r="B2" s="116" t="str">
        <f>"Relative Valuation - "&amp; +'Data Sheet'!B1</f>
        <v>Relative Valuation - HDFC BANK LTD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</row>
    <row r="3" spans="2:12" x14ac:dyDescent="0.3">
      <c r="B3" s="50"/>
      <c r="C3" s="118" t="s">
        <v>106</v>
      </c>
      <c r="D3" s="118"/>
      <c r="E3" s="118"/>
      <c r="F3" s="118"/>
      <c r="G3" s="118"/>
      <c r="H3" s="47"/>
      <c r="I3" s="49"/>
      <c r="J3" s="48"/>
      <c r="K3" s="119" t="s">
        <v>107</v>
      </c>
      <c r="L3" s="119"/>
    </row>
    <row r="4" spans="2:12" x14ac:dyDescent="0.3">
      <c r="B4" s="51" t="s">
        <v>100</v>
      </c>
      <c r="C4" s="53" t="s">
        <v>102</v>
      </c>
      <c r="D4" s="53" t="s">
        <v>103</v>
      </c>
      <c r="E4" s="53" t="s">
        <v>101</v>
      </c>
      <c r="F4" s="53" t="s">
        <v>119</v>
      </c>
      <c r="G4" s="53" t="s">
        <v>57</v>
      </c>
      <c r="H4" s="53"/>
      <c r="I4" s="53" t="s">
        <v>104</v>
      </c>
      <c r="J4" s="53"/>
      <c r="K4" s="53" t="s">
        <v>105</v>
      </c>
      <c r="L4" s="53" t="s">
        <v>116</v>
      </c>
    </row>
    <row r="5" spans="2:12" x14ac:dyDescent="0.3">
      <c r="B5" s="55" t="s">
        <v>63</v>
      </c>
      <c r="C5" s="56">
        <v>994.3</v>
      </c>
      <c r="D5" s="56">
        <v>1538.25</v>
      </c>
      <c r="E5" s="57">
        <f>C5*D5</f>
        <v>1529481.9749999999</v>
      </c>
      <c r="F5" s="60">
        <f t="shared" ref="F5:G9" si="0">F22</f>
        <v>504.29914462435886</v>
      </c>
      <c r="G5" s="57">
        <f t="shared" si="0"/>
        <v>88.292061033568814</v>
      </c>
      <c r="H5" s="57"/>
      <c r="I5" s="57">
        <f>'3-Statement Model'!F22</f>
        <v>67347.358099999998</v>
      </c>
      <c r="J5" s="57"/>
      <c r="K5" s="58">
        <f>C5/G22</f>
        <v>11.261488160548945</v>
      </c>
      <c r="L5" s="58">
        <f>C5/F22</f>
        <v>1.9716472070176358</v>
      </c>
    </row>
    <row r="6" spans="2:12" x14ac:dyDescent="0.3">
      <c r="B6" s="52" t="s">
        <v>108</v>
      </c>
      <c r="C6" s="56">
        <v>1366</v>
      </c>
      <c r="D6" s="56">
        <v>715.02</v>
      </c>
      <c r="E6" s="57">
        <f t="shared" ref="E6:E9" si="1">C6*D6</f>
        <v>976717.32</v>
      </c>
      <c r="F6" s="60">
        <f t="shared" si="0"/>
        <v>439.01709043103688</v>
      </c>
      <c r="G6" s="57">
        <f t="shared" si="0"/>
        <v>74.91</v>
      </c>
      <c r="H6" s="57"/>
      <c r="I6" s="56">
        <v>53300.25</v>
      </c>
      <c r="J6" s="57"/>
      <c r="K6" s="58">
        <f>C6/G23</f>
        <v>18.235215592043787</v>
      </c>
      <c r="L6" s="58">
        <f>C6/F23</f>
        <v>3.111496180385211</v>
      </c>
    </row>
    <row r="7" spans="2:12" x14ac:dyDescent="0.3">
      <c r="B7" s="52" t="s">
        <v>109</v>
      </c>
      <c r="C7" s="56">
        <v>2182.4</v>
      </c>
      <c r="D7" s="56">
        <v>198.91</v>
      </c>
      <c r="E7" s="57">
        <f t="shared" si="1"/>
        <v>434101.18400000001</v>
      </c>
      <c r="F7" s="60">
        <f t="shared" si="0"/>
        <v>791.76009250414756</v>
      </c>
      <c r="G7" s="57">
        <f t="shared" si="0"/>
        <v>93.42</v>
      </c>
      <c r="H7" s="57"/>
      <c r="I7" s="56">
        <v>18574.23</v>
      </c>
      <c r="J7" s="57"/>
      <c r="K7" s="58">
        <f>C7/G24</f>
        <v>23.361164632840936</v>
      </c>
      <c r="L7" s="58">
        <f>C7/F24</f>
        <v>2.7563905034637344</v>
      </c>
    </row>
    <row r="8" spans="2:12" x14ac:dyDescent="0.3">
      <c r="B8" s="52" t="s">
        <v>110</v>
      </c>
      <c r="C8" s="56">
        <v>1219.5999999999999</v>
      </c>
      <c r="D8" s="56">
        <v>310.42</v>
      </c>
      <c r="E8" s="57">
        <f t="shared" si="1"/>
        <v>378588.23200000002</v>
      </c>
      <c r="F8" s="60">
        <f t="shared" si="0"/>
        <v>603.16667740480636</v>
      </c>
      <c r="G8" s="57">
        <f t="shared" si="0"/>
        <v>83.87</v>
      </c>
      <c r="H8" s="57"/>
      <c r="I8" s="56">
        <v>25988.99</v>
      </c>
      <c r="J8" s="57"/>
      <c r="K8" s="58">
        <f>C8/G25</f>
        <v>14.541552402527719</v>
      </c>
      <c r="L8" s="58">
        <f>C8/F25</f>
        <v>2.0219949902528906</v>
      </c>
    </row>
    <row r="9" spans="2:12" x14ac:dyDescent="0.3">
      <c r="B9" s="52" t="s">
        <v>111</v>
      </c>
      <c r="C9" s="56">
        <v>99.53</v>
      </c>
      <c r="D9" s="56">
        <v>1075.24</v>
      </c>
      <c r="E9" s="57">
        <f t="shared" si="1"/>
        <v>107018.6372</v>
      </c>
      <c r="F9" s="60">
        <f t="shared" si="0"/>
        <v>57.308135858040998</v>
      </c>
      <c r="G9" s="57">
        <f t="shared" si="0"/>
        <v>8.6300000000000008</v>
      </c>
      <c r="H9" s="57"/>
      <c r="I9" s="56">
        <v>9284.32</v>
      </c>
      <c r="J9" s="57"/>
      <c r="K9" s="58">
        <f>C9/G26</f>
        <v>11.533024333719583</v>
      </c>
      <c r="L9" s="58">
        <f>C9/F26</f>
        <v>1.7367516585524181</v>
      </c>
    </row>
    <row r="10" spans="2:12" x14ac:dyDescent="0.3">
      <c r="K10" s="58"/>
      <c r="L10" s="58"/>
    </row>
    <row r="11" spans="2:12" x14ac:dyDescent="0.3">
      <c r="B11" s="105" t="s">
        <v>112</v>
      </c>
      <c r="C11" s="62"/>
      <c r="D11" s="62"/>
      <c r="E11" s="62"/>
      <c r="F11" s="62"/>
      <c r="G11" s="62"/>
      <c r="H11" s="62"/>
      <c r="I11" s="62"/>
      <c r="J11" s="62"/>
      <c r="K11" s="106">
        <f>AVERAGE(K6:K9)</f>
        <v>16.917739240283009</v>
      </c>
      <c r="L11" s="106">
        <f>AVERAGE(L6:L9)</f>
        <v>2.4066583331635636</v>
      </c>
    </row>
    <row r="12" spans="2:12" x14ac:dyDescent="0.3">
      <c r="B12" s="64" t="s">
        <v>113</v>
      </c>
      <c r="C12" s="107"/>
      <c r="D12" s="107"/>
      <c r="E12" s="107"/>
      <c r="F12" s="107"/>
      <c r="G12" s="107"/>
      <c r="H12" s="107"/>
      <c r="I12" s="107"/>
      <c r="J12" s="107"/>
      <c r="K12" s="108">
        <f>MEDIAN(K6:K9)</f>
        <v>16.388383997285754</v>
      </c>
      <c r="L12" s="108">
        <f>MEDIAN(L6:L9)</f>
        <v>2.3891927468583125</v>
      </c>
    </row>
    <row r="14" spans="2:12" x14ac:dyDescent="0.3">
      <c r="B14" s="109" t="s">
        <v>63</v>
      </c>
      <c r="C14" s="107"/>
      <c r="D14" s="107"/>
      <c r="E14" s="107"/>
      <c r="F14" s="107"/>
      <c r="G14" s="107"/>
      <c r="H14" s="107"/>
      <c r="I14" s="107"/>
      <c r="J14" s="107"/>
      <c r="K14" s="107" t="s">
        <v>290</v>
      </c>
      <c r="L14" s="107" t="s">
        <v>291</v>
      </c>
    </row>
    <row r="15" spans="2:12" x14ac:dyDescent="0.3">
      <c r="B15" s="20" t="s">
        <v>121</v>
      </c>
      <c r="K15" s="60">
        <f>K12*G5</f>
        <v>1446.9642001299162</v>
      </c>
      <c r="L15" s="60">
        <f t="shared" ref="L15" si="2">L12*$F$5</f>
        <v>1204.8678585833693</v>
      </c>
    </row>
    <row r="16" spans="2:12" x14ac:dyDescent="0.3">
      <c r="B16" s="20" t="s">
        <v>115</v>
      </c>
      <c r="K16" s="60">
        <f>$D$5</f>
        <v>1538.25</v>
      </c>
      <c r="L16" s="60">
        <f t="shared" ref="L16" si="3">$D$5</f>
        <v>1538.25</v>
      </c>
    </row>
    <row r="17" spans="1:12" x14ac:dyDescent="0.3">
      <c r="B17" s="20" t="s">
        <v>114</v>
      </c>
      <c r="K17" s="61">
        <f>K16*K15</f>
        <v>2225792.6808498437</v>
      </c>
      <c r="L17" s="61">
        <f t="shared" ref="L17" si="4">L16*L15</f>
        <v>1853387.9834658678</v>
      </c>
    </row>
    <row r="18" spans="1:12" x14ac:dyDescent="0.3">
      <c r="B18" s="65"/>
      <c r="C18" s="66"/>
      <c r="D18" s="66"/>
      <c r="E18" s="66"/>
      <c r="F18" s="66"/>
      <c r="G18" s="66"/>
      <c r="H18" s="66"/>
      <c r="I18" s="66"/>
      <c r="J18" s="66"/>
      <c r="K18" s="67"/>
      <c r="L18" s="67"/>
    </row>
    <row r="19" spans="1:12" x14ac:dyDescent="0.3">
      <c r="B19" s="65"/>
      <c r="C19" s="66"/>
      <c r="D19" s="66"/>
      <c r="E19" s="66"/>
      <c r="F19" s="66"/>
      <c r="G19" s="66"/>
      <c r="H19" s="66"/>
      <c r="I19" s="66"/>
      <c r="J19" s="66"/>
      <c r="K19" s="67"/>
      <c r="L19" s="67"/>
    </row>
    <row r="20" spans="1:12" x14ac:dyDescent="0.3">
      <c r="B20" s="64" t="s">
        <v>120</v>
      </c>
      <c r="C20" s="62"/>
      <c r="D20" s="62"/>
      <c r="E20" s="62"/>
      <c r="F20" s="62"/>
      <c r="G20" s="62"/>
    </row>
    <row r="21" spans="1:12" x14ac:dyDescent="0.3">
      <c r="B21" s="63" t="s">
        <v>100</v>
      </c>
      <c r="C21" s="59" t="s">
        <v>118</v>
      </c>
      <c r="D21" s="59" t="s">
        <v>25</v>
      </c>
      <c r="E21" s="59" t="s">
        <v>117</v>
      </c>
      <c r="F21" s="59" t="s">
        <v>119</v>
      </c>
      <c r="G21" s="59" t="s">
        <v>57</v>
      </c>
    </row>
    <row r="22" spans="1:12" x14ac:dyDescent="0.3">
      <c r="B22" s="55" t="s">
        <v>63</v>
      </c>
      <c r="C22" s="56">
        <v>994.3</v>
      </c>
      <c r="D22" s="60">
        <f>'3-Statement Model'!F37</f>
        <v>500659.41729999997</v>
      </c>
      <c r="E22" s="60">
        <f>'3-Statement Model'!F36</f>
        <v>765.22220000000004</v>
      </c>
      <c r="F22" s="60">
        <f>SUM(D22:E22)/C22</f>
        <v>504.29914462435886</v>
      </c>
      <c r="G22" s="57">
        <f>'3-Statement Model'!F30</f>
        <v>88.292061033568814</v>
      </c>
    </row>
    <row r="23" spans="1:12" x14ac:dyDescent="0.3">
      <c r="B23" s="52" t="s">
        <v>108</v>
      </c>
      <c r="C23" s="56">
        <v>715.02</v>
      </c>
      <c r="D23" s="56">
        <v>312481</v>
      </c>
      <c r="E23" s="56">
        <v>1425</v>
      </c>
      <c r="F23" s="57">
        <f>SUM(D23:E23)/C23</f>
        <v>439.01709043103688</v>
      </c>
      <c r="G23" s="56">
        <v>74.91</v>
      </c>
    </row>
    <row r="24" spans="1:12" x14ac:dyDescent="0.3">
      <c r="B24" s="52" t="s">
        <v>109</v>
      </c>
      <c r="C24" s="56">
        <v>198.91</v>
      </c>
      <c r="D24" s="56">
        <v>156495</v>
      </c>
      <c r="E24" s="56">
        <v>994</v>
      </c>
      <c r="F24" s="57">
        <f t="shared" ref="F24:F26" si="5">SUM(D24:E24)/C24</f>
        <v>791.76009250414756</v>
      </c>
      <c r="G24" s="56">
        <v>93.42</v>
      </c>
    </row>
    <row r="25" spans="1:12" x14ac:dyDescent="0.3">
      <c r="B25" s="52" t="s">
        <v>110</v>
      </c>
      <c r="C25" s="56">
        <v>310.42</v>
      </c>
      <c r="D25" s="56">
        <v>186616</v>
      </c>
      <c r="E25" s="56">
        <v>619</v>
      </c>
      <c r="F25" s="57">
        <f t="shared" si="5"/>
        <v>603.16667740480636</v>
      </c>
      <c r="G25" s="56">
        <v>83.87</v>
      </c>
    </row>
    <row r="26" spans="1:12" x14ac:dyDescent="0.3">
      <c r="B26" s="52" t="s">
        <v>111</v>
      </c>
      <c r="C26" s="56">
        <v>1075.24</v>
      </c>
      <c r="D26" s="56">
        <v>50868</v>
      </c>
      <c r="E26" s="56">
        <v>10752</v>
      </c>
      <c r="F26" s="57">
        <f t="shared" si="5"/>
        <v>57.308135858040998</v>
      </c>
      <c r="G26" s="56">
        <v>8.6300000000000008</v>
      </c>
    </row>
    <row r="27" spans="1:12" x14ac:dyDescent="0.3">
      <c r="B27" s="52"/>
      <c r="C27" s="56"/>
      <c r="D27" s="56"/>
      <c r="E27" s="56"/>
      <c r="F27" s="57"/>
      <c r="G27" s="56"/>
    </row>
    <row r="30" spans="1:12" x14ac:dyDescent="0.3">
      <c r="A30" s="68"/>
      <c r="B30" s="65" t="s">
        <v>289</v>
      </c>
    </row>
    <row r="31" spans="1:12" x14ac:dyDescent="0.3">
      <c r="A31" s="68"/>
      <c r="B31" s="68" t="s">
        <v>293</v>
      </c>
    </row>
    <row r="32" spans="1:12" x14ac:dyDescent="0.3">
      <c r="A32" s="68"/>
      <c r="B32" s="68"/>
    </row>
    <row r="33" spans="2:2" x14ac:dyDescent="0.3">
      <c r="B33" s="69" t="s">
        <v>122</v>
      </c>
    </row>
    <row r="34" spans="2:2" x14ac:dyDescent="0.3">
      <c r="B34" s="69" t="s">
        <v>123</v>
      </c>
    </row>
    <row r="35" spans="2:2" x14ac:dyDescent="0.3">
      <c r="B35" s="69" t="s">
        <v>124</v>
      </c>
    </row>
    <row r="36" spans="2:2" x14ac:dyDescent="0.3">
      <c r="B36" s="69" t="s">
        <v>292</v>
      </c>
    </row>
  </sheetData>
  <mergeCells count="3">
    <mergeCell ref="B2:L2"/>
    <mergeCell ref="C3:G3"/>
    <mergeCell ref="K3:L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73783-5ECB-43A2-97FE-6AE9CF8615AC}">
  <dimension ref="B2:F29"/>
  <sheetViews>
    <sheetView workbookViewId="0">
      <selection activeCell="I19" sqref="I19"/>
    </sheetView>
  </sheetViews>
  <sheetFormatPr defaultRowHeight="14.4" x14ac:dyDescent="0.3"/>
  <cols>
    <col min="2" max="2" width="59" customWidth="1"/>
    <col min="3" max="4" width="12.77734375" bestFit="1" customWidth="1"/>
    <col min="5" max="6" width="13.6640625" bestFit="1" customWidth="1"/>
    <col min="11" max="11" width="10.33203125" bestFit="1" customWidth="1"/>
  </cols>
  <sheetData>
    <row r="2" spans="2:6" x14ac:dyDescent="0.3">
      <c r="C2" s="80">
        <v>44651</v>
      </c>
      <c r="D2" s="80">
        <v>45016</v>
      </c>
      <c r="E2" s="80">
        <v>45382</v>
      </c>
      <c r="F2" s="80">
        <v>45747</v>
      </c>
    </row>
    <row r="3" spans="2:6" x14ac:dyDescent="0.3">
      <c r="B3" t="s">
        <v>144</v>
      </c>
    </row>
    <row r="4" spans="2:6" x14ac:dyDescent="0.3">
      <c r="B4" t="s">
        <v>149</v>
      </c>
      <c r="C4" s="34">
        <v>1277531191</v>
      </c>
      <c r="D4" s="34">
        <v>1615855367</v>
      </c>
      <c r="E4" s="79">
        <v>2583405755</v>
      </c>
      <c r="F4" s="79">
        <v>3005170417</v>
      </c>
    </row>
    <row r="5" spans="2:6" x14ac:dyDescent="0.3">
      <c r="B5" t="s">
        <v>150</v>
      </c>
      <c r="C5" s="34">
        <v>295099004</v>
      </c>
      <c r="D5" s="34">
        <v>312148251</v>
      </c>
      <c r="E5" s="79">
        <v>492409994</v>
      </c>
      <c r="F5" s="79">
        <v>456322818</v>
      </c>
    </row>
    <row r="6" spans="2:6" x14ac:dyDescent="0.3">
      <c r="B6" t="s">
        <v>26</v>
      </c>
      <c r="C6" s="34">
        <v>1572630195</v>
      </c>
      <c r="D6" s="34">
        <v>1928003618</v>
      </c>
      <c r="E6" s="79">
        <v>3075815749</v>
      </c>
      <c r="F6" s="79">
        <v>3461493235</v>
      </c>
    </row>
    <row r="7" spans="2:6" x14ac:dyDescent="0.3">
      <c r="B7" t="s">
        <v>145</v>
      </c>
      <c r="E7" s="79"/>
      <c r="F7" s="79"/>
    </row>
    <row r="8" spans="2:6" x14ac:dyDescent="0.3">
      <c r="B8" t="s">
        <v>165</v>
      </c>
      <c r="C8" s="34">
        <v>557435282</v>
      </c>
      <c r="D8" s="34">
        <v>747433173</v>
      </c>
      <c r="E8" s="79">
        <v>1498081008</v>
      </c>
      <c r="F8" s="79">
        <v>1778469527</v>
      </c>
    </row>
    <row r="9" spans="2:6" x14ac:dyDescent="0.3">
      <c r="B9" t="s">
        <v>151</v>
      </c>
      <c r="C9" s="34">
        <v>374421858</v>
      </c>
      <c r="D9" s="34">
        <v>476520844</v>
      </c>
      <c r="E9" s="79">
        <v>633860240</v>
      </c>
      <c r="F9" s="79">
        <v>681748820</v>
      </c>
    </row>
    <row r="10" spans="2:6" x14ac:dyDescent="0.3">
      <c r="B10" t="s">
        <v>152</v>
      </c>
      <c r="C10" s="34">
        <v>271159503</v>
      </c>
      <c r="D10" s="34">
        <v>262962587</v>
      </c>
      <c r="E10" s="79">
        <v>335751716</v>
      </c>
      <c r="F10" s="79">
        <v>327801307</v>
      </c>
    </row>
    <row r="11" spans="2:6" x14ac:dyDescent="0.3">
      <c r="B11" t="s">
        <v>141</v>
      </c>
      <c r="C11" s="34">
        <v>1203016643</v>
      </c>
      <c r="D11" s="34">
        <v>1486916604</v>
      </c>
      <c r="E11" s="79">
        <v>2467692964</v>
      </c>
      <c r="F11" s="79">
        <v>2788019654</v>
      </c>
    </row>
    <row r="12" spans="2:6" x14ac:dyDescent="0.3">
      <c r="B12" t="s">
        <v>146</v>
      </c>
      <c r="E12" s="79"/>
      <c r="F12" s="79"/>
    </row>
    <row r="13" spans="2:6" x14ac:dyDescent="0.3">
      <c r="B13" t="s">
        <v>153</v>
      </c>
      <c r="C13" s="34">
        <v>369613552</v>
      </c>
      <c r="D13" s="34">
        <v>441087014</v>
      </c>
      <c r="E13" s="79">
        <v>608122785</v>
      </c>
      <c r="F13" s="79">
        <v>673473581</v>
      </c>
    </row>
    <row r="14" spans="2:6" x14ac:dyDescent="0.3">
      <c r="B14" t="s">
        <v>154</v>
      </c>
      <c r="C14" s="34">
        <v>736527947</v>
      </c>
      <c r="D14" s="34">
        <v>931856743</v>
      </c>
      <c r="E14" s="79">
        <v>1129599963</v>
      </c>
      <c r="F14" s="79">
        <v>1395798306</v>
      </c>
    </row>
    <row r="15" spans="2:6" x14ac:dyDescent="0.3">
      <c r="B15" t="s">
        <v>155</v>
      </c>
      <c r="E15" s="79">
        <v>35701097</v>
      </c>
      <c r="F15" s="79" t="s">
        <v>95</v>
      </c>
    </row>
    <row r="16" spans="2:6" x14ac:dyDescent="0.3">
      <c r="B16" t="s">
        <v>134</v>
      </c>
      <c r="C16" s="34">
        <v>1106141499</v>
      </c>
      <c r="D16" s="34">
        <v>1372943757</v>
      </c>
      <c r="E16" s="79">
        <v>1773423845</v>
      </c>
      <c r="F16" s="79">
        <v>2069271887</v>
      </c>
    </row>
    <row r="17" spans="2:6" x14ac:dyDescent="0.3">
      <c r="B17" t="s">
        <v>147</v>
      </c>
      <c r="E17" s="79"/>
      <c r="F17" s="79"/>
    </row>
    <row r="18" spans="2:6" x14ac:dyDescent="0.3">
      <c r="B18" t="s">
        <v>156</v>
      </c>
      <c r="C18" s="34">
        <v>92403388</v>
      </c>
      <c r="D18" s="34">
        <v>110271754</v>
      </c>
      <c r="E18" s="79">
        <v>152030697</v>
      </c>
      <c r="F18" s="79">
        <v>168368395</v>
      </c>
    </row>
    <row r="19" spans="2:6" x14ac:dyDescent="0.3">
      <c r="B19" t="s">
        <v>157</v>
      </c>
      <c r="C19" s="34">
        <v>36961355</v>
      </c>
      <c r="D19" s="34">
        <v>44108702</v>
      </c>
      <c r="E19" s="79">
        <v>60812279</v>
      </c>
      <c r="F19" s="79">
        <v>67347358</v>
      </c>
    </row>
    <row r="20" spans="2:6" x14ac:dyDescent="0.3">
      <c r="B20" t="s">
        <v>158</v>
      </c>
      <c r="D20" s="34">
        <v>5000000</v>
      </c>
      <c r="E20" s="79">
        <v>30000000</v>
      </c>
      <c r="F20" s="79">
        <v>32000000</v>
      </c>
    </row>
    <row r="21" spans="2:6" x14ac:dyDescent="0.3">
      <c r="B21" t="s">
        <v>159</v>
      </c>
      <c r="C21" s="34">
        <v>6664722</v>
      </c>
      <c r="D21" s="34">
        <v>46127</v>
      </c>
      <c r="E21" s="79">
        <v>41664119</v>
      </c>
      <c r="F21" s="79">
        <v>5069983</v>
      </c>
    </row>
    <row r="22" spans="2:6" x14ac:dyDescent="0.3">
      <c r="B22" t="s">
        <v>160</v>
      </c>
      <c r="C22" s="34">
        <v>2331331</v>
      </c>
      <c r="D22" s="34">
        <v>-2947976</v>
      </c>
      <c r="E22" s="79">
        <v>5294222</v>
      </c>
      <c r="F22" s="79" t="s">
        <v>95</v>
      </c>
    </row>
    <row r="23" spans="2:6" x14ac:dyDescent="0.3">
      <c r="B23" t="s">
        <v>166</v>
      </c>
      <c r="D23" s="34">
        <v>820000</v>
      </c>
      <c r="E23" s="79">
        <v>3780000</v>
      </c>
      <c r="F23" s="79" t="s">
        <v>95</v>
      </c>
    </row>
    <row r="24" spans="2:6" x14ac:dyDescent="0.3">
      <c r="B24" t="s">
        <v>161</v>
      </c>
      <c r="C24" s="34">
        <v>35923960</v>
      </c>
      <c r="D24" s="34">
        <v>86045187</v>
      </c>
      <c r="E24" s="79">
        <v>84044222</v>
      </c>
      <c r="F24" s="79">
        <v>148261930</v>
      </c>
    </row>
    <row r="25" spans="2:6" x14ac:dyDescent="0.3">
      <c r="B25" t="s">
        <v>164</v>
      </c>
      <c r="C25" s="34">
        <v>931856743</v>
      </c>
      <c r="D25" s="34">
        <v>1129599963</v>
      </c>
      <c r="E25" s="79">
        <v>1395798306</v>
      </c>
      <c r="F25" s="79">
        <v>1648224221</v>
      </c>
    </row>
    <row r="26" spans="2:6" x14ac:dyDescent="0.3">
      <c r="B26" t="s">
        <v>134</v>
      </c>
      <c r="C26" s="34">
        <v>1106141499</v>
      </c>
      <c r="D26" s="34">
        <v>1372943757</v>
      </c>
      <c r="E26" s="79">
        <v>1773423845</v>
      </c>
      <c r="F26" s="79">
        <v>2069271887</v>
      </c>
    </row>
    <row r="27" spans="2:6" x14ac:dyDescent="0.3">
      <c r="B27" t="s">
        <v>148</v>
      </c>
      <c r="E27" s="79"/>
      <c r="F27" s="79"/>
    </row>
    <row r="28" spans="2:6" x14ac:dyDescent="0.3">
      <c r="B28" t="s">
        <v>162</v>
      </c>
      <c r="C28">
        <v>66.8</v>
      </c>
      <c r="D28">
        <v>79.25</v>
      </c>
      <c r="E28" s="79">
        <v>85.83</v>
      </c>
      <c r="F28" s="79">
        <v>88.29</v>
      </c>
    </row>
    <row r="29" spans="2:6" x14ac:dyDescent="0.3">
      <c r="B29" t="s">
        <v>163</v>
      </c>
      <c r="C29">
        <v>66.349999999999994</v>
      </c>
      <c r="D29">
        <v>78.89</v>
      </c>
      <c r="E29" s="79">
        <v>85.44</v>
      </c>
      <c r="F29" s="79">
        <v>87.9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2C064-9B76-4384-8C32-81FD4B9AEEAA}">
  <dimension ref="B2:I25"/>
  <sheetViews>
    <sheetView workbookViewId="0">
      <selection activeCell="D25" sqref="D25"/>
    </sheetView>
  </sheetViews>
  <sheetFormatPr defaultRowHeight="14.4" x14ac:dyDescent="0.3"/>
  <cols>
    <col min="2" max="2" width="53.88671875" customWidth="1"/>
    <col min="3" max="4" width="16.44140625" bestFit="1" customWidth="1"/>
    <col min="5" max="6" width="14.6640625" bestFit="1" customWidth="1"/>
  </cols>
  <sheetData>
    <row r="2" spans="2:6" x14ac:dyDescent="0.3">
      <c r="C2" s="80">
        <v>44651</v>
      </c>
      <c r="D2" s="80">
        <v>45016</v>
      </c>
      <c r="E2" s="80">
        <v>45382</v>
      </c>
      <c r="F2" s="80">
        <v>45747</v>
      </c>
    </row>
    <row r="3" spans="2:6" x14ac:dyDescent="0.3">
      <c r="B3" t="s">
        <v>126</v>
      </c>
      <c r="C3" s="25"/>
      <c r="D3" s="25"/>
      <c r="E3" s="25"/>
      <c r="F3" s="25"/>
    </row>
    <row r="4" spans="2:6" x14ac:dyDescent="0.3">
      <c r="B4" t="s">
        <v>128</v>
      </c>
      <c r="C4" s="34">
        <v>5545541</v>
      </c>
      <c r="D4" s="34">
        <v>5579743</v>
      </c>
      <c r="E4" s="79">
        <v>7596911</v>
      </c>
      <c r="F4" s="79">
        <v>7652222</v>
      </c>
    </row>
    <row r="5" spans="2:6" x14ac:dyDescent="0.3">
      <c r="B5" t="s">
        <v>130</v>
      </c>
      <c r="E5" s="79">
        <v>26527161</v>
      </c>
      <c r="F5" s="79">
        <v>38051944</v>
      </c>
    </row>
    <row r="6" spans="2:6" x14ac:dyDescent="0.3">
      <c r="B6" t="s">
        <v>129</v>
      </c>
      <c r="C6" s="34">
        <v>2395383846</v>
      </c>
      <c r="D6" s="34">
        <v>2796410334</v>
      </c>
      <c r="E6" s="79">
        <v>4368333979</v>
      </c>
      <c r="F6" s="79">
        <v>4968542229</v>
      </c>
    </row>
    <row r="7" spans="2:6" x14ac:dyDescent="0.3">
      <c r="B7" t="s">
        <v>131</v>
      </c>
      <c r="C7" s="34">
        <v>15592174400</v>
      </c>
      <c r="D7" s="34">
        <v>18833946463</v>
      </c>
      <c r="E7" s="79">
        <v>23797862764</v>
      </c>
      <c r="F7" s="79">
        <v>27147148959</v>
      </c>
    </row>
    <row r="8" spans="2:6" x14ac:dyDescent="0.3">
      <c r="B8" t="s">
        <v>132</v>
      </c>
      <c r="C8" s="34">
        <v>1848172073</v>
      </c>
      <c r="D8" s="34">
        <v>2067655655</v>
      </c>
      <c r="E8" s="79">
        <v>6621530751</v>
      </c>
      <c r="F8" s="79">
        <v>5479308926</v>
      </c>
    </row>
    <row r="9" spans="2:6" x14ac:dyDescent="0.3">
      <c r="B9" t="s">
        <v>133</v>
      </c>
      <c r="C9" s="34">
        <v>844074643</v>
      </c>
      <c r="D9" s="34">
        <v>957222477</v>
      </c>
      <c r="E9" s="79">
        <v>1354379303</v>
      </c>
      <c r="F9" s="79">
        <v>1461285166</v>
      </c>
    </row>
    <row r="10" spans="2:6" x14ac:dyDescent="0.3">
      <c r="B10" t="s">
        <v>134</v>
      </c>
      <c r="C10" s="34">
        <v>20685350503</v>
      </c>
      <c r="D10" s="34">
        <v>24660814672</v>
      </c>
      <c r="E10" s="79">
        <v>36176230869</v>
      </c>
      <c r="F10" s="79">
        <v>39101989446</v>
      </c>
    </row>
    <row r="11" spans="2:6" x14ac:dyDescent="0.3">
      <c r="B11" t="s">
        <v>127</v>
      </c>
      <c r="E11" s="79">
        <v>0</v>
      </c>
      <c r="F11" s="79">
        <v>0</v>
      </c>
    </row>
    <row r="12" spans="2:6" x14ac:dyDescent="0.3">
      <c r="B12" t="s">
        <v>135</v>
      </c>
      <c r="C12" s="34">
        <v>1299956352</v>
      </c>
      <c r="D12" s="34">
        <v>1171607706</v>
      </c>
      <c r="E12" s="79">
        <v>1786832228</v>
      </c>
      <c r="F12" s="79">
        <v>1443550296</v>
      </c>
    </row>
    <row r="13" spans="2:6" x14ac:dyDescent="0.3">
      <c r="B13" t="s">
        <v>136</v>
      </c>
      <c r="C13" s="34">
        <v>223312892</v>
      </c>
      <c r="D13" s="34">
        <v>766043125</v>
      </c>
      <c r="E13" s="79">
        <v>404641953</v>
      </c>
      <c r="F13" s="79">
        <v>952156416</v>
      </c>
    </row>
    <row r="14" spans="2:6" x14ac:dyDescent="0.3">
      <c r="B14" t="s">
        <v>137</v>
      </c>
      <c r="C14" s="34">
        <v>4555356930</v>
      </c>
      <c r="D14" s="34">
        <v>5170014280</v>
      </c>
      <c r="E14" s="79">
        <v>7024149587</v>
      </c>
      <c r="F14" s="79">
        <v>8363596736</v>
      </c>
    </row>
    <row r="15" spans="2:6" x14ac:dyDescent="0.3">
      <c r="B15" t="s">
        <v>138</v>
      </c>
      <c r="C15" s="34">
        <v>13688209314</v>
      </c>
      <c r="D15" s="34">
        <v>16005859000</v>
      </c>
      <c r="E15" s="79">
        <v>24848615188.000004</v>
      </c>
      <c r="F15" s="79">
        <v>26196086171</v>
      </c>
    </row>
    <row r="16" spans="2:6" x14ac:dyDescent="0.3">
      <c r="B16" t="s">
        <v>139</v>
      </c>
      <c r="C16" s="34">
        <v>60836735</v>
      </c>
      <c r="D16" s="34">
        <v>80165410</v>
      </c>
      <c r="E16" s="79">
        <v>113989878.00000001</v>
      </c>
      <c r="F16" s="79">
        <v>136553987</v>
      </c>
    </row>
    <row r="17" spans="2:9" x14ac:dyDescent="0.3">
      <c r="B17" t="s">
        <v>140</v>
      </c>
      <c r="C17" s="34">
        <v>857678280</v>
      </c>
      <c r="D17" s="34">
        <v>1467125151</v>
      </c>
      <c r="E17" s="79">
        <v>1998002035</v>
      </c>
      <c r="F17" s="79">
        <v>2010045840</v>
      </c>
    </row>
    <row r="18" spans="2:9" x14ac:dyDescent="0.3">
      <c r="B18" t="s">
        <v>141</v>
      </c>
      <c r="C18" s="34">
        <v>20685350503</v>
      </c>
      <c r="D18" s="34">
        <v>24660814672</v>
      </c>
      <c r="E18" s="79">
        <v>36176230869</v>
      </c>
      <c r="F18" s="79">
        <v>39101989446</v>
      </c>
    </row>
    <row r="19" spans="2:9" x14ac:dyDescent="0.3">
      <c r="B19" t="s">
        <v>143</v>
      </c>
      <c r="C19" s="34">
        <v>13954422995</v>
      </c>
      <c r="D19" s="34">
        <v>17481303179</v>
      </c>
      <c r="E19" s="79">
        <v>22967583363</v>
      </c>
      <c r="F19" s="79">
        <v>26474170018.000004</v>
      </c>
    </row>
    <row r="20" spans="2:9" x14ac:dyDescent="0.3">
      <c r="B20" t="s">
        <v>142</v>
      </c>
      <c r="C20" s="34">
        <v>569680463</v>
      </c>
      <c r="D20" s="34">
        <v>714395377</v>
      </c>
      <c r="E20" s="79">
        <v>653328740</v>
      </c>
      <c r="F20" s="79">
        <v>706795543.99999988</v>
      </c>
    </row>
    <row r="21" spans="2:9" x14ac:dyDescent="0.3">
      <c r="C21" s="34"/>
      <c r="D21" s="34"/>
      <c r="E21" s="34"/>
      <c r="F21" s="34"/>
      <c r="G21" s="34"/>
      <c r="H21" s="34"/>
      <c r="I21" s="34"/>
    </row>
    <row r="22" spans="2:9" x14ac:dyDescent="0.3">
      <c r="C22" s="34"/>
      <c r="D22" s="34"/>
      <c r="E22" s="34"/>
      <c r="F22" s="34"/>
      <c r="G22" s="34"/>
      <c r="H22" s="34"/>
      <c r="I22" s="34"/>
    </row>
    <row r="23" spans="2:9" x14ac:dyDescent="0.3">
      <c r="C23" s="34"/>
      <c r="D23" s="34"/>
      <c r="F23" s="34"/>
      <c r="G23" s="34"/>
      <c r="H23" s="34"/>
      <c r="I23" s="34"/>
    </row>
    <row r="24" spans="2:9" x14ac:dyDescent="0.3">
      <c r="C24" s="34"/>
      <c r="D24" s="34"/>
      <c r="E24" s="34"/>
      <c r="F24" s="34"/>
      <c r="G24" s="34"/>
      <c r="H24" s="34"/>
      <c r="I24" s="34"/>
    </row>
    <row r="25" spans="2:9" x14ac:dyDescent="0.3">
      <c r="C25" s="34"/>
      <c r="D25" s="34"/>
      <c r="E25" s="34"/>
      <c r="F25" s="34"/>
      <c r="G25" s="34"/>
      <c r="H25" s="34"/>
      <c r="I25" s="34"/>
    </row>
  </sheetData>
  <phoneticPr fontId="17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05C21-BC45-48D9-816C-905566C7C7C5}">
  <sheetPr codeName="Sheet8"/>
  <dimension ref="B2:L46"/>
  <sheetViews>
    <sheetView topLeftCell="A15" zoomScaleNormal="98" workbookViewId="0">
      <selection activeCell="D36" sqref="D36"/>
    </sheetView>
  </sheetViews>
  <sheetFormatPr defaultRowHeight="14.4" x14ac:dyDescent="0.3"/>
  <cols>
    <col min="2" max="2" width="52.77734375" bestFit="1" customWidth="1"/>
    <col min="3" max="6" width="15.44140625" bestFit="1" customWidth="1"/>
    <col min="7" max="12" width="8.5546875" bestFit="1" customWidth="1"/>
  </cols>
  <sheetData>
    <row r="2" spans="2:12" x14ac:dyDescent="0.3">
      <c r="C2" s="80">
        <v>44651</v>
      </c>
      <c r="D2" s="80">
        <v>45016</v>
      </c>
      <c r="E2" s="80">
        <v>45382</v>
      </c>
      <c r="F2" s="80">
        <v>45747</v>
      </c>
      <c r="K2" s="25"/>
      <c r="L2" s="25"/>
    </row>
    <row r="3" spans="2:12" x14ac:dyDescent="0.3">
      <c r="B3" t="s">
        <v>167</v>
      </c>
      <c r="K3" s="34"/>
      <c r="L3" s="34"/>
    </row>
    <row r="4" spans="2:12" x14ac:dyDescent="0.3">
      <c r="B4" t="s">
        <v>169</v>
      </c>
      <c r="C4" s="79">
        <v>490154792</v>
      </c>
      <c r="D4" s="79">
        <v>584853016</v>
      </c>
      <c r="E4" s="79">
        <v>708953051</v>
      </c>
      <c r="F4" s="79">
        <v>884780560</v>
      </c>
      <c r="K4" s="34"/>
      <c r="L4" s="34"/>
    </row>
    <row r="5" spans="2:12" x14ac:dyDescent="0.3">
      <c r="B5" t="s">
        <v>168</v>
      </c>
      <c r="C5" s="79"/>
      <c r="D5" s="79"/>
      <c r="E5" s="79"/>
      <c r="F5" s="79"/>
      <c r="K5" s="34"/>
      <c r="L5" s="34"/>
    </row>
    <row r="6" spans="2:12" x14ac:dyDescent="0.3">
      <c r="B6" t="s">
        <v>170</v>
      </c>
      <c r="C6" s="79">
        <v>15998039</v>
      </c>
      <c r="D6" s="79">
        <v>22424793</v>
      </c>
      <c r="E6" s="79">
        <v>28100988</v>
      </c>
      <c r="F6" s="79">
        <v>33794728</v>
      </c>
      <c r="K6" s="34"/>
      <c r="L6" s="34"/>
    </row>
    <row r="7" spans="2:12" x14ac:dyDescent="0.3">
      <c r="B7" t="s">
        <v>171</v>
      </c>
      <c r="C7" s="79">
        <v>-15463977</v>
      </c>
      <c r="D7" s="79">
        <v>5458202</v>
      </c>
      <c r="E7" s="79">
        <v>-9434922</v>
      </c>
      <c r="F7" s="79">
        <v>2683978</v>
      </c>
      <c r="K7" s="34"/>
      <c r="L7" s="34"/>
    </row>
    <row r="8" spans="2:12" x14ac:dyDescent="0.3">
      <c r="B8" t="s">
        <v>172</v>
      </c>
      <c r="C8" s="79">
        <v>8213244</v>
      </c>
      <c r="D8" s="79">
        <v>8511961</v>
      </c>
      <c r="E8" s="79">
        <v>8449479</v>
      </c>
      <c r="F8" s="79">
        <v>-278677</v>
      </c>
      <c r="K8" s="34"/>
      <c r="L8" s="34"/>
    </row>
    <row r="9" spans="2:12" x14ac:dyDescent="0.3">
      <c r="B9" t="s">
        <v>213</v>
      </c>
      <c r="C9" s="79">
        <v>33388</v>
      </c>
      <c r="D9" s="79">
        <v>-82875</v>
      </c>
      <c r="E9" s="79">
        <v>-738174</v>
      </c>
      <c r="F9" s="79">
        <v>-226517</v>
      </c>
      <c r="K9" s="34"/>
      <c r="L9" s="34"/>
    </row>
    <row r="10" spans="2:12" x14ac:dyDescent="0.3">
      <c r="B10" t="s">
        <v>173</v>
      </c>
      <c r="C10" s="79" t="s">
        <v>95</v>
      </c>
      <c r="D10" s="79" t="s">
        <v>95</v>
      </c>
      <c r="E10" s="79">
        <v>-73414237</v>
      </c>
      <c r="F10" s="79">
        <v>80000</v>
      </c>
      <c r="K10" s="34"/>
      <c r="L10" s="34"/>
    </row>
    <row r="11" spans="2:12" x14ac:dyDescent="0.3">
      <c r="B11" t="s">
        <v>174</v>
      </c>
      <c r="C11" s="79">
        <v>106334842</v>
      </c>
      <c r="D11" s="79">
        <v>117873839</v>
      </c>
      <c r="E11" s="79">
        <v>107748189</v>
      </c>
      <c r="F11" s="79">
        <v>127153073</v>
      </c>
      <c r="K11" s="34"/>
      <c r="L11" s="34"/>
    </row>
    <row r="12" spans="2:12" x14ac:dyDescent="0.3">
      <c r="B12" t="s">
        <v>175</v>
      </c>
      <c r="C12" s="79" t="s">
        <v>95</v>
      </c>
      <c r="D12" s="79" t="s">
        <v>95</v>
      </c>
      <c r="E12" s="79">
        <v>109000000</v>
      </c>
      <c r="F12" s="79" t="s">
        <v>95</v>
      </c>
      <c r="K12" s="34"/>
      <c r="L12" s="34"/>
    </row>
    <row r="13" spans="2:12" x14ac:dyDescent="0.3">
      <c r="B13" t="s">
        <v>176</v>
      </c>
      <c r="C13" s="79">
        <v>49569684</v>
      </c>
      <c r="D13" s="79">
        <v>1322746</v>
      </c>
      <c r="E13" s="79">
        <v>18173261</v>
      </c>
      <c r="F13" s="79">
        <v>-10658745</v>
      </c>
    </row>
    <row r="14" spans="2:12" x14ac:dyDescent="0.3">
      <c r="B14" t="s">
        <v>177</v>
      </c>
      <c r="C14" s="79">
        <v>-8308954</v>
      </c>
      <c r="D14" s="79">
        <v>-8109753</v>
      </c>
      <c r="E14" s="79">
        <v>-13323911</v>
      </c>
      <c r="F14" s="79">
        <v>-21870101</v>
      </c>
      <c r="K14" s="34"/>
    </row>
    <row r="15" spans="2:12" x14ac:dyDescent="0.3">
      <c r="B15" t="s">
        <v>178</v>
      </c>
      <c r="C15" s="79">
        <v>3259696</v>
      </c>
      <c r="D15" s="79">
        <v>7488973</v>
      </c>
      <c r="E15" s="79">
        <v>15474040</v>
      </c>
      <c r="F15" s="79">
        <v>18907034</v>
      </c>
    </row>
    <row r="16" spans="2:12" x14ac:dyDescent="0.3">
      <c r="B16" s="34"/>
      <c r="C16" s="79">
        <v>649790754</v>
      </c>
      <c r="D16" s="79">
        <v>739740902</v>
      </c>
      <c r="E16" s="79">
        <v>898987764</v>
      </c>
      <c r="F16" s="79">
        <v>1034365333</v>
      </c>
    </row>
    <row r="17" spans="2:12" x14ac:dyDescent="0.3">
      <c r="B17" t="s">
        <v>168</v>
      </c>
      <c r="C17" s="79"/>
      <c r="D17" s="79"/>
      <c r="E17" s="79"/>
      <c r="F17" s="79"/>
      <c r="K17" s="34"/>
    </row>
    <row r="18" spans="2:12" x14ac:dyDescent="0.3">
      <c r="B18" t="s">
        <v>179</v>
      </c>
      <c r="C18" s="79">
        <v>-121951685</v>
      </c>
      <c r="D18" s="79">
        <v>-633308892</v>
      </c>
      <c r="E18" s="79">
        <v>-548336186</v>
      </c>
      <c r="F18" s="79">
        <v>-1302003741</v>
      </c>
      <c r="K18" s="34"/>
      <c r="L18" s="34"/>
    </row>
    <row r="19" spans="2:12" x14ac:dyDescent="0.3">
      <c r="B19" t="s">
        <v>180</v>
      </c>
      <c r="C19" s="79">
        <v>-2466388983</v>
      </c>
      <c r="D19" s="79">
        <v>-2435526411</v>
      </c>
      <c r="E19" s="79">
        <v>-2894442171</v>
      </c>
      <c r="F19" s="79">
        <v>-1489033797</v>
      </c>
      <c r="K19" s="34"/>
      <c r="L19" s="34"/>
    </row>
    <row r="20" spans="2:12" x14ac:dyDescent="0.3">
      <c r="B20" t="s">
        <v>181</v>
      </c>
      <c r="C20" s="79">
        <v>2241572192</v>
      </c>
      <c r="D20" s="79">
        <v>3241772063</v>
      </c>
      <c r="E20" s="79">
        <v>3391324138</v>
      </c>
      <c r="F20" s="79">
        <v>3349286195</v>
      </c>
      <c r="K20" s="34"/>
      <c r="L20" s="34"/>
    </row>
    <row r="21" spans="2:12" x14ac:dyDescent="0.3">
      <c r="B21" t="s">
        <v>182</v>
      </c>
      <c r="C21" s="79">
        <v>-380235846</v>
      </c>
      <c r="D21" s="79">
        <v>-594093460</v>
      </c>
      <c r="E21" s="79">
        <v>-292254127</v>
      </c>
      <c r="F21" s="79">
        <v>-73424525</v>
      </c>
    </row>
    <row r="22" spans="2:12" x14ac:dyDescent="0.3">
      <c r="B22" t="s">
        <v>183</v>
      </c>
      <c r="C22" s="79">
        <v>75178971</v>
      </c>
      <c r="D22" s="79">
        <v>109307200</v>
      </c>
      <c r="E22" s="79">
        <v>-6692396</v>
      </c>
      <c r="F22" s="79">
        <v>106340648</v>
      </c>
    </row>
    <row r="23" spans="2:12" x14ac:dyDescent="0.3">
      <c r="B23" s="34"/>
      <c r="C23" s="79">
        <v>-2034597</v>
      </c>
      <c r="D23" s="79">
        <v>427891402</v>
      </c>
      <c r="E23" s="79">
        <v>548587022</v>
      </c>
      <c r="F23" s="79">
        <v>1625530113</v>
      </c>
      <c r="K23" s="34"/>
      <c r="L23" s="34"/>
    </row>
    <row r="24" spans="2:12" x14ac:dyDescent="0.3">
      <c r="B24" t="s">
        <v>184</v>
      </c>
      <c r="C24" s="79">
        <v>-140052624</v>
      </c>
      <c r="D24" s="79">
        <v>-154757324</v>
      </c>
      <c r="E24" s="79">
        <v>-198437376</v>
      </c>
      <c r="F24" s="79">
        <v>-173757076</v>
      </c>
      <c r="K24" s="34"/>
      <c r="L24" s="34"/>
    </row>
    <row r="25" spans="2:12" x14ac:dyDescent="0.3">
      <c r="B25" t="s">
        <v>185</v>
      </c>
      <c r="C25" s="79">
        <v>-142087221</v>
      </c>
      <c r="D25" s="79">
        <v>273134078</v>
      </c>
      <c r="E25" s="79">
        <v>350149646</v>
      </c>
      <c r="F25" s="79">
        <v>1451773037</v>
      </c>
      <c r="K25" s="34"/>
      <c r="L25" s="34"/>
    </row>
    <row r="26" spans="2:12" x14ac:dyDescent="0.3">
      <c r="B26" t="s">
        <v>186</v>
      </c>
      <c r="C26" s="79"/>
      <c r="D26" s="79"/>
      <c r="E26" s="79"/>
      <c r="F26" s="79"/>
    </row>
    <row r="27" spans="2:12" x14ac:dyDescent="0.3">
      <c r="B27" t="s">
        <v>188</v>
      </c>
      <c r="C27" s="79">
        <v>-21407866</v>
      </c>
      <c r="D27" s="79">
        <v>-32804687</v>
      </c>
      <c r="E27" s="79">
        <v>-38348940</v>
      </c>
      <c r="F27" s="79">
        <v>-31986944</v>
      </c>
    </row>
    <row r="28" spans="2:12" x14ac:dyDescent="0.3">
      <c r="B28" t="s">
        <v>189</v>
      </c>
      <c r="C28" s="79">
        <v>182956</v>
      </c>
      <c r="D28" s="79">
        <v>406121</v>
      </c>
      <c r="E28" s="79">
        <v>960042</v>
      </c>
      <c r="F28" s="79">
        <v>904484</v>
      </c>
    </row>
    <row r="29" spans="2:12" x14ac:dyDescent="0.3">
      <c r="B29" t="s">
        <v>190</v>
      </c>
      <c r="C29" s="79"/>
      <c r="D29" s="79"/>
      <c r="E29" s="79"/>
      <c r="F29" s="79">
        <v>-13097695</v>
      </c>
    </row>
    <row r="30" spans="2:12" x14ac:dyDescent="0.3">
      <c r="B30" t="s">
        <v>191</v>
      </c>
      <c r="C30" s="79"/>
      <c r="D30" s="79"/>
      <c r="E30" s="79">
        <v>95006717</v>
      </c>
      <c r="F30" s="79">
        <v>1920000</v>
      </c>
    </row>
    <row r="31" spans="2:12" x14ac:dyDescent="0.3">
      <c r="B31" t="s">
        <v>192</v>
      </c>
      <c r="C31" s="79">
        <v>8308954</v>
      </c>
      <c r="D31" s="79">
        <v>8109753</v>
      </c>
      <c r="E31" s="79">
        <v>13323911</v>
      </c>
      <c r="F31" s="79">
        <v>21870101</v>
      </c>
    </row>
    <row r="32" spans="2:12" x14ac:dyDescent="0.3">
      <c r="B32" t="s">
        <v>193</v>
      </c>
      <c r="C32" s="79">
        <v>-12915956</v>
      </c>
      <c r="D32" s="79">
        <v>-24288813</v>
      </c>
      <c r="E32" s="79">
        <v>70941730</v>
      </c>
      <c r="F32" s="79">
        <v>-20390054</v>
      </c>
    </row>
    <row r="33" spans="2:6" x14ac:dyDescent="0.3">
      <c r="B33" t="s">
        <v>187</v>
      </c>
      <c r="C33" s="79"/>
      <c r="D33" s="79"/>
      <c r="E33" s="79"/>
      <c r="F33" s="79"/>
    </row>
    <row r="34" spans="2:6" x14ac:dyDescent="0.3">
      <c r="B34" t="s">
        <v>194</v>
      </c>
      <c r="C34" s="79"/>
      <c r="D34" s="79"/>
      <c r="E34" s="79">
        <v>31928121</v>
      </c>
      <c r="F34" s="79"/>
    </row>
    <row r="35" spans="2:6" x14ac:dyDescent="0.3">
      <c r="B35" t="s">
        <v>195</v>
      </c>
      <c r="C35" s="79"/>
      <c r="D35" s="79"/>
      <c r="E35" s="79">
        <v>52497323</v>
      </c>
      <c r="F35" s="79">
        <v>63464973</v>
      </c>
    </row>
    <row r="36" spans="2:6" x14ac:dyDescent="0.3">
      <c r="B36" t="s">
        <v>215</v>
      </c>
      <c r="C36" s="79">
        <v>26097614</v>
      </c>
      <c r="D36" s="79">
        <v>34158331</v>
      </c>
      <c r="E36" s="79"/>
      <c r="F36" s="79"/>
    </row>
    <row r="37" spans="2:6" x14ac:dyDescent="0.3">
      <c r="B37" t="s">
        <v>216</v>
      </c>
      <c r="C37" s="79">
        <v>81627500</v>
      </c>
      <c r="D37" s="79">
        <v>230000000</v>
      </c>
      <c r="E37" s="79"/>
      <c r="F37" s="79"/>
    </row>
    <row r="38" spans="2:6" x14ac:dyDescent="0.3">
      <c r="B38" t="s">
        <v>217</v>
      </c>
      <c r="C38" s="79">
        <v>-36500000</v>
      </c>
      <c r="D38" s="79">
        <v>-114770000</v>
      </c>
      <c r="E38" s="79"/>
      <c r="F38" s="79"/>
    </row>
    <row r="39" spans="2:6" x14ac:dyDescent="0.3">
      <c r="B39" t="s">
        <v>214</v>
      </c>
      <c r="C39" s="79">
        <v>446616337</v>
      </c>
      <c r="D39" s="79">
        <v>97876082</v>
      </c>
      <c r="E39" s="79">
        <v>-222750573</v>
      </c>
      <c r="F39" s="79">
        <v>-1144291825</v>
      </c>
    </row>
    <row r="40" spans="2:6" x14ac:dyDescent="0.3">
      <c r="B40" t="s">
        <v>196</v>
      </c>
      <c r="C40" s="79">
        <v>-35923960</v>
      </c>
      <c r="D40" s="79">
        <v>-86045187</v>
      </c>
      <c r="E40" s="79">
        <v>-84044222</v>
      </c>
      <c r="F40" s="79">
        <v>-148261930</v>
      </c>
    </row>
    <row r="41" spans="2:6" x14ac:dyDescent="0.3">
      <c r="B41" t="s">
        <v>197</v>
      </c>
      <c r="C41" s="79">
        <v>481917491</v>
      </c>
      <c r="D41" s="79">
        <v>161219226</v>
      </c>
      <c r="E41" s="79">
        <v>-222369351</v>
      </c>
      <c r="F41" s="79">
        <v>-1229088782</v>
      </c>
    </row>
    <row r="42" spans="2:6" x14ac:dyDescent="0.3">
      <c r="B42" t="s">
        <v>198</v>
      </c>
      <c r="C42" s="79">
        <v>1650973</v>
      </c>
      <c r="D42" s="79">
        <v>4317096</v>
      </c>
      <c r="E42" s="79">
        <v>1012629</v>
      </c>
      <c r="F42" s="79">
        <v>1938330</v>
      </c>
    </row>
    <row r="43" spans="2:6" x14ac:dyDescent="0.3">
      <c r="B43" t="s">
        <v>199</v>
      </c>
      <c r="C43" s="79">
        <v>328565287</v>
      </c>
      <c r="D43" s="79">
        <v>414381587</v>
      </c>
      <c r="E43" s="79">
        <v>199734654</v>
      </c>
      <c r="F43" s="79">
        <v>204232531</v>
      </c>
    </row>
    <row r="44" spans="2:6" x14ac:dyDescent="0.3">
      <c r="B44" t="s">
        <v>200</v>
      </c>
      <c r="C44" s="79">
        <v>1194703957</v>
      </c>
      <c r="D44" s="79">
        <v>1523269244</v>
      </c>
      <c r="E44" s="79">
        <v>1937650831</v>
      </c>
      <c r="F44" s="79">
        <v>2191474181</v>
      </c>
    </row>
    <row r="45" spans="2:6" x14ac:dyDescent="0.3">
      <c r="B45" t="s">
        <v>201</v>
      </c>
      <c r="C45" s="79"/>
      <c r="D45" s="79"/>
      <c r="E45" s="79">
        <v>54088696</v>
      </c>
      <c r="F45" s="79"/>
    </row>
    <row r="46" spans="2:6" x14ac:dyDescent="0.3">
      <c r="B46" t="s">
        <v>202</v>
      </c>
      <c r="C46" s="79">
        <v>1523269244</v>
      </c>
      <c r="D46" s="79">
        <v>1937650831</v>
      </c>
      <c r="E46" s="79">
        <v>2191474181</v>
      </c>
      <c r="F46" s="79">
        <v>2395706712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1EC07-C8D6-4BC8-9D86-1141D3AAAC8E}">
  <dimension ref="A1:K55"/>
  <sheetViews>
    <sheetView showGridLines="0" zoomScale="92" workbookViewId="0">
      <pane ySplit="2" topLeftCell="A13" activePane="bottomLeft" state="frozen"/>
      <selection pane="bottomLeft" activeCell="E33" sqref="E33"/>
    </sheetView>
  </sheetViews>
  <sheetFormatPr defaultRowHeight="14.4" x14ac:dyDescent="0.3"/>
  <cols>
    <col min="1" max="1" width="6.6640625" style="54" customWidth="1"/>
    <col min="2" max="2" width="83.33203125" bestFit="1" customWidth="1"/>
    <col min="3" max="3" width="14.6640625" bestFit="1" customWidth="1"/>
    <col min="4" max="4" width="14.33203125" bestFit="1" customWidth="1"/>
    <col min="5" max="5" width="14.6640625" bestFit="1" customWidth="1"/>
    <col min="6" max="6" width="17.21875" bestFit="1" customWidth="1"/>
    <col min="7" max="11" width="13" bestFit="1" customWidth="1"/>
  </cols>
  <sheetData>
    <row r="1" spans="1:11" ht="25.8" x14ac:dyDescent="0.5">
      <c r="B1" s="115" t="s">
        <v>294</v>
      </c>
      <c r="C1" s="115"/>
      <c r="D1" s="115"/>
      <c r="E1" s="115"/>
      <c r="F1" s="115"/>
      <c r="G1" s="115"/>
      <c r="H1" s="115"/>
      <c r="I1" s="115"/>
      <c r="J1" s="115"/>
      <c r="K1" s="115"/>
    </row>
    <row r="2" spans="1:11" x14ac:dyDescent="0.3">
      <c r="B2" s="111" t="s">
        <v>295</v>
      </c>
      <c r="C2" s="112">
        <v>44651</v>
      </c>
      <c r="D2" s="112">
        <v>45016</v>
      </c>
      <c r="E2" s="112">
        <v>45382</v>
      </c>
      <c r="F2" s="112">
        <v>45747</v>
      </c>
      <c r="G2" s="112">
        <v>46112</v>
      </c>
      <c r="H2" s="112">
        <v>46477</v>
      </c>
      <c r="I2" s="112">
        <v>46843</v>
      </c>
      <c r="J2" s="112">
        <v>47208</v>
      </c>
      <c r="K2" s="112">
        <v>47573</v>
      </c>
    </row>
    <row r="3" spans="1:11" x14ac:dyDescent="0.3">
      <c r="B3" s="2"/>
      <c r="C3" s="89"/>
      <c r="D3" s="89"/>
      <c r="E3" s="89"/>
      <c r="F3" s="89"/>
      <c r="G3" s="89"/>
      <c r="H3" s="89"/>
      <c r="I3" s="89"/>
      <c r="J3" s="89"/>
      <c r="K3" s="89"/>
    </row>
    <row r="4" spans="1:11" x14ac:dyDescent="0.3">
      <c r="A4" s="54" t="s">
        <v>236</v>
      </c>
      <c r="B4" s="2" t="s">
        <v>203</v>
      </c>
    </row>
    <row r="5" spans="1:11" x14ac:dyDescent="0.3">
      <c r="B5" t="s">
        <v>207</v>
      </c>
      <c r="C5" s="110" t="s">
        <v>95</v>
      </c>
      <c r="D5" s="110" t="s">
        <v>95</v>
      </c>
      <c r="E5" s="110" t="s">
        <v>95</v>
      </c>
      <c r="F5" s="79">
        <v>5087279.8</v>
      </c>
      <c r="G5" s="110" t="s">
        <v>95</v>
      </c>
      <c r="H5" s="110" t="s">
        <v>95</v>
      </c>
      <c r="I5" s="110" t="s">
        <v>95</v>
      </c>
      <c r="J5" s="110" t="s">
        <v>95</v>
      </c>
      <c r="K5" s="110" t="s">
        <v>95</v>
      </c>
    </row>
    <row r="6" spans="1:11" x14ac:dyDescent="0.3">
      <c r="B6" t="s">
        <v>208</v>
      </c>
      <c r="C6" s="110" t="s">
        <v>95</v>
      </c>
      <c r="D6" s="110" t="s">
        <v>95</v>
      </c>
      <c r="E6" s="110" t="s">
        <v>95</v>
      </c>
      <c r="F6" s="79">
        <v>126082.5</v>
      </c>
      <c r="G6" s="110" t="s">
        <v>95</v>
      </c>
      <c r="H6" s="110" t="s">
        <v>95</v>
      </c>
      <c r="I6" s="110" t="s">
        <v>95</v>
      </c>
      <c r="J6" s="110" t="s">
        <v>95</v>
      </c>
      <c r="K6" s="110" t="s">
        <v>95</v>
      </c>
    </row>
    <row r="7" spans="1:11" x14ac:dyDescent="0.3">
      <c r="B7" t="s">
        <v>209</v>
      </c>
      <c r="C7" s="110" t="s">
        <v>95</v>
      </c>
      <c r="D7" s="110" t="s">
        <v>95</v>
      </c>
      <c r="E7" s="110" t="s">
        <v>95</v>
      </c>
      <c r="F7" s="79">
        <v>5213362.3</v>
      </c>
      <c r="G7" s="110" t="s">
        <v>95</v>
      </c>
      <c r="H7" s="110" t="s">
        <v>95</v>
      </c>
      <c r="I7" s="110" t="s">
        <v>95</v>
      </c>
      <c r="J7" s="110" t="s">
        <v>95</v>
      </c>
      <c r="K7" s="110" t="s">
        <v>95</v>
      </c>
    </row>
    <row r="8" spans="1:11" x14ac:dyDescent="0.3">
      <c r="B8" t="s">
        <v>210</v>
      </c>
      <c r="C8" s="110" t="s">
        <v>95</v>
      </c>
      <c r="D8" s="110" t="s">
        <v>95</v>
      </c>
      <c r="E8" s="110" t="s">
        <v>95</v>
      </c>
      <c r="F8" s="79">
        <v>588391.9</v>
      </c>
      <c r="G8" s="110" t="s">
        <v>95</v>
      </c>
      <c r="H8" s="110" t="s">
        <v>95</v>
      </c>
      <c r="I8" s="110" t="s">
        <v>95</v>
      </c>
      <c r="J8" s="110" t="s">
        <v>95</v>
      </c>
      <c r="K8" s="110" t="s">
        <v>95</v>
      </c>
    </row>
    <row r="9" spans="1:11" x14ac:dyDescent="0.3">
      <c r="B9" t="s">
        <v>211</v>
      </c>
      <c r="C9" s="110" t="s">
        <v>95</v>
      </c>
      <c r="D9" s="110" t="s">
        <v>95</v>
      </c>
      <c r="E9" s="110" t="s">
        <v>95</v>
      </c>
      <c r="F9" s="79">
        <v>19.7</v>
      </c>
      <c r="G9" s="110" t="s">
        <v>95</v>
      </c>
      <c r="H9" s="110" t="s">
        <v>95</v>
      </c>
      <c r="I9" s="110" t="s">
        <v>95</v>
      </c>
      <c r="J9" s="110" t="s">
        <v>95</v>
      </c>
      <c r="K9" s="110" t="s">
        <v>95</v>
      </c>
    </row>
    <row r="10" spans="1:11" x14ac:dyDescent="0.3">
      <c r="B10" t="s">
        <v>212</v>
      </c>
      <c r="C10" s="110" t="s">
        <v>95</v>
      </c>
      <c r="D10" s="110" t="s">
        <v>95</v>
      </c>
      <c r="E10" s="110" t="s">
        <v>95</v>
      </c>
      <c r="F10" s="79">
        <v>588372.19999999995</v>
      </c>
      <c r="G10" s="110" t="s">
        <v>95</v>
      </c>
      <c r="H10" s="110" t="s">
        <v>95</v>
      </c>
      <c r="I10" s="110" t="s">
        <v>95</v>
      </c>
      <c r="J10" s="110" t="s">
        <v>95</v>
      </c>
      <c r="K10" s="110" t="s">
        <v>95</v>
      </c>
    </row>
    <row r="11" spans="1:11" x14ac:dyDescent="0.3">
      <c r="B11" t="s">
        <v>221</v>
      </c>
      <c r="C11" s="110" t="s">
        <v>95</v>
      </c>
      <c r="D11" s="110" t="s">
        <v>95</v>
      </c>
      <c r="E11" s="110" t="s">
        <v>95</v>
      </c>
      <c r="F11" s="79"/>
      <c r="G11" s="110" t="s">
        <v>95</v>
      </c>
      <c r="H11" s="110" t="s">
        <v>95</v>
      </c>
      <c r="I11" s="110" t="s">
        <v>95</v>
      </c>
      <c r="J11" s="110" t="s">
        <v>95</v>
      </c>
      <c r="K11" s="110" t="s">
        <v>95</v>
      </c>
    </row>
    <row r="12" spans="1:11" x14ac:dyDescent="0.3">
      <c r="B12" t="s">
        <v>204</v>
      </c>
      <c r="C12" s="110" t="s">
        <v>95</v>
      </c>
      <c r="D12" s="110" t="s">
        <v>95</v>
      </c>
      <c r="E12" s="110" t="s">
        <v>95</v>
      </c>
      <c r="F12" s="79">
        <v>26302217.600000001</v>
      </c>
      <c r="G12" s="110" t="s">
        <v>95</v>
      </c>
      <c r="H12" s="110" t="s">
        <v>95</v>
      </c>
      <c r="I12" s="110" t="s">
        <v>95</v>
      </c>
      <c r="J12" s="110" t="s">
        <v>95</v>
      </c>
      <c r="K12" s="110" t="s">
        <v>95</v>
      </c>
    </row>
    <row r="13" spans="1:11" x14ac:dyDescent="0.3">
      <c r="B13" t="s">
        <v>205</v>
      </c>
      <c r="C13" s="110" t="s">
        <v>95</v>
      </c>
      <c r="D13" s="110" t="s">
        <v>95</v>
      </c>
      <c r="E13" s="110" t="s">
        <v>95</v>
      </c>
      <c r="F13" s="79">
        <v>324381.2</v>
      </c>
      <c r="G13" s="110" t="s">
        <v>95</v>
      </c>
      <c r="H13" s="110" t="s">
        <v>95</v>
      </c>
      <c r="I13" s="110" t="s">
        <v>95</v>
      </c>
      <c r="J13" s="110" t="s">
        <v>95</v>
      </c>
      <c r="K13" s="110" t="s">
        <v>95</v>
      </c>
    </row>
    <row r="14" spans="1:11" x14ac:dyDescent="0.3">
      <c r="B14" t="s">
        <v>206</v>
      </c>
      <c r="C14" s="110" t="s">
        <v>95</v>
      </c>
      <c r="D14" s="110" t="s">
        <v>95</v>
      </c>
      <c r="E14" s="110" t="s">
        <v>95</v>
      </c>
      <c r="F14" s="79">
        <v>2865713</v>
      </c>
      <c r="G14" s="110" t="s">
        <v>95</v>
      </c>
      <c r="H14" s="110" t="s">
        <v>95</v>
      </c>
      <c r="I14" s="110" t="s">
        <v>95</v>
      </c>
      <c r="J14" s="110" t="s">
        <v>95</v>
      </c>
      <c r="K14" s="110" t="s">
        <v>95</v>
      </c>
    </row>
    <row r="15" spans="1:11" x14ac:dyDescent="0.3">
      <c r="B15" t="s">
        <v>298</v>
      </c>
      <c r="C15" s="110"/>
      <c r="D15" s="110"/>
      <c r="E15" s="110"/>
      <c r="F15" s="79">
        <f>SUM(F12:F14)</f>
        <v>29492311.800000001</v>
      </c>
      <c r="G15" s="110"/>
      <c r="H15" s="110"/>
      <c r="I15" s="110"/>
      <c r="J15" s="110"/>
      <c r="K15" s="110"/>
    </row>
    <row r="16" spans="1:11" s="2" customFormat="1" x14ac:dyDescent="0.3">
      <c r="A16" s="59"/>
      <c r="B16" s="2" t="s">
        <v>233</v>
      </c>
      <c r="C16" s="114">
        <v>0.17660000000000001</v>
      </c>
      <c r="D16" s="114">
        <v>0.18390000000000001</v>
      </c>
      <c r="E16" s="114">
        <v>0.19969999999999999</v>
      </c>
      <c r="F16" s="114">
        <f>SUM(F10,F7)/SUM(F12:F14)</f>
        <v>0.19672023472910657</v>
      </c>
      <c r="G16" s="110" t="s">
        <v>95</v>
      </c>
      <c r="H16" s="110" t="s">
        <v>95</v>
      </c>
      <c r="I16" s="110" t="s">
        <v>95</v>
      </c>
      <c r="J16" s="110" t="s">
        <v>95</v>
      </c>
      <c r="K16" s="110" t="s">
        <v>95</v>
      </c>
    </row>
    <row r="17" spans="1:11" s="2" customFormat="1" x14ac:dyDescent="0.3">
      <c r="A17" s="59"/>
      <c r="C17" s="113" t="s">
        <v>297</v>
      </c>
      <c r="D17" s="113" t="s">
        <v>297</v>
      </c>
      <c r="E17" s="113" t="s">
        <v>297</v>
      </c>
      <c r="F17" s="113" t="s">
        <v>296</v>
      </c>
    </row>
    <row r="18" spans="1:11" s="2" customFormat="1" x14ac:dyDescent="0.3">
      <c r="A18" s="59"/>
      <c r="B18" s="2" t="s">
        <v>301</v>
      </c>
      <c r="C18" s="113"/>
      <c r="D18" s="113"/>
      <c r="E18" s="113"/>
      <c r="F18" s="113"/>
    </row>
    <row r="19" spans="1:11" s="2" customFormat="1" x14ac:dyDescent="0.3">
      <c r="A19" s="54" t="s">
        <v>237</v>
      </c>
      <c r="B19" s="2" t="s">
        <v>267</v>
      </c>
      <c r="C19" s="81"/>
      <c r="D19" s="81"/>
      <c r="E19" s="81"/>
      <c r="F19" s="81"/>
    </row>
    <row r="20" spans="1:11" s="2" customFormat="1" x14ac:dyDescent="0.3">
      <c r="B20" s="2" t="s">
        <v>284</v>
      </c>
      <c r="C20" s="81"/>
      <c r="D20" s="81"/>
      <c r="E20" s="81"/>
      <c r="F20" s="81"/>
      <c r="G20" s="102">
        <v>0.35</v>
      </c>
      <c r="H20" s="102">
        <v>0.35</v>
      </c>
      <c r="I20" s="102">
        <v>0.36</v>
      </c>
      <c r="J20" s="102">
        <v>0.37</v>
      </c>
      <c r="K20" s="102">
        <v>0.39</v>
      </c>
    </row>
    <row r="21" spans="1:11" s="2" customFormat="1" x14ac:dyDescent="0.3">
      <c r="A21" s="59"/>
      <c r="B21" t="s">
        <v>268</v>
      </c>
      <c r="C21" s="98">
        <v>239310.5992</v>
      </c>
      <c r="D21" s="98">
        <v>273496.1482</v>
      </c>
      <c r="E21" s="98">
        <v>310015.69549999997</v>
      </c>
      <c r="F21" s="98">
        <v>314093.6372</v>
      </c>
    </row>
    <row r="22" spans="1:11" s="2" customFormat="1" x14ac:dyDescent="0.3">
      <c r="A22" s="59"/>
      <c r="B22" t="s">
        <v>269</v>
      </c>
      <c r="C22" s="98">
        <v>511738.54379999998</v>
      </c>
      <c r="D22" s="98">
        <v>562492.728</v>
      </c>
      <c r="E22" s="98">
        <v>598747.29229999997</v>
      </c>
      <c r="F22" s="98">
        <v>630466.60609999998</v>
      </c>
    </row>
    <row r="23" spans="1:11" s="2" customFormat="1" x14ac:dyDescent="0.3">
      <c r="A23" s="59"/>
      <c r="B23" s="2" t="s">
        <v>283</v>
      </c>
      <c r="C23" s="97">
        <f>SUM(C21:C22)</f>
        <v>751049.14299999992</v>
      </c>
      <c r="D23" s="97">
        <f t="shared" ref="D23:F23" si="0">SUM(D21:D22)</f>
        <v>835988.87620000006</v>
      </c>
      <c r="E23" s="97">
        <f t="shared" si="0"/>
        <v>908762.9878</v>
      </c>
      <c r="F23" s="97">
        <f t="shared" si="0"/>
        <v>944560.24329999997</v>
      </c>
      <c r="G23" s="2">
        <f t="shared" ref="G23:K23" si="1">G20*G25</f>
        <v>1147696.1323682491</v>
      </c>
      <c r="H23" s="2">
        <f t="shared" si="1"/>
        <v>1386313.8622164056</v>
      </c>
      <c r="I23" s="2">
        <f t="shared" si="1"/>
        <v>1722386.7272223199</v>
      </c>
      <c r="J23" s="2">
        <f t="shared" si="1"/>
        <v>2138279.8393051894</v>
      </c>
      <c r="K23" s="2">
        <f t="shared" si="1"/>
        <v>2722463.5383466589</v>
      </c>
    </row>
    <row r="24" spans="1:11" s="2" customFormat="1" x14ac:dyDescent="0.3">
      <c r="A24" s="59"/>
      <c r="B24" t="s">
        <v>270</v>
      </c>
      <c r="C24" s="98">
        <v>808168.29700000002</v>
      </c>
      <c r="D24" s="34">
        <v>1047405.7701</v>
      </c>
      <c r="E24" s="98">
        <v>1471023.2886000001</v>
      </c>
      <c r="F24" s="98">
        <v>1770154.6525999999</v>
      </c>
      <c r="G24">
        <f>G25-G23</f>
        <v>2131435.6743981773</v>
      </c>
      <c r="H24">
        <f t="shared" ref="H24:K24" si="2">H25-H23</f>
        <v>2574582.8869733247</v>
      </c>
      <c r="I24">
        <f t="shared" si="2"/>
        <v>3062020.8483952358</v>
      </c>
      <c r="J24">
        <f t="shared" si="2"/>
        <v>3640854.8615196468</v>
      </c>
      <c r="K24">
        <f t="shared" si="2"/>
        <v>4258212.2010037489</v>
      </c>
    </row>
    <row r="25" spans="1:11" s="2" customFormat="1" x14ac:dyDescent="0.3">
      <c r="A25" s="59"/>
      <c r="B25" s="2" t="s">
        <v>141</v>
      </c>
      <c r="C25" s="97">
        <f>SUM(C23:C24)</f>
        <v>1559217.44</v>
      </c>
      <c r="D25" s="97">
        <f t="shared" ref="D25:F25" si="3">SUM(D23:D24)</f>
        <v>1883394.6463000001</v>
      </c>
      <c r="E25" s="97">
        <f t="shared" si="3"/>
        <v>2379786.2763999999</v>
      </c>
      <c r="F25" s="97">
        <f t="shared" si="3"/>
        <v>2714714.8958999999</v>
      </c>
      <c r="G25" s="2">
        <f>F25*(1+$C$27)</f>
        <v>3279131.8067664262</v>
      </c>
      <c r="H25" s="2">
        <f t="shared" ref="H25:J25" si="4">G25*(1+$C$27)</f>
        <v>3960896.7491897303</v>
      </c>
      <c r="I25" s="2">
        <f t="shared" si="4"/>
        <v>4784407.5756175555</v>
      </c>
      <c r="J25" s="2">
        <f t="shared" si="4"/>
        <v>5779134.7008248363</v>
      </c>
      <c r="K25" s="2">
        <f>J25*(1+$C$27)</f>
        <v>6980675.7393504074</v>
      </c>
    </row>
    <row r="26" spans="1:11" s="2" customFormat="1" x14ac:dyDescent="0.3">
      <c r="A26" s="59"/>
      <c r="B26" s="2" t="s">
        <v>285</v>
      </c>
      <c r="C26" s="97" t="s">
        <v>95</v>
      </c>
      <c r="D26" s="97">
        <f>D25/C25-1</f>
        <v>0.20791019775920416</v>
      </c>
      <c r="E26" s="97">
        <f t="shared" ref="E26:F26" si="5">E25/D25-1</f>
        <v>0.26356219662999458</v>
      </c>
      <c r="F26" s="97">
        <f t="shared" si="5"/>
        <v>0.14073894904825668</v>
      </c>
    </row>
    <row r="27" spans="1:11" s="2" customFormat="1" x14ac:dyDescent="0.3">
      <c r="A27" s="59"/>
      <c r="B27" s="2" t="s">
        <v>286</v>
      </c>
      <c r="C27" s="103">
        <f>MEDIAN(D26:F26)</f>
        <v>0.20791019775920416</v>
      </c>
      <c r="D27" s="97"/>
      <c r="E27" s="97"/>
      <c r="F27" s="97"/>
    </row>
    <row r="28" spans="1:11" x14ac:dyDescent="0.3">
      <c r="C28" s="79"/>
      <c r="D28" s="79"/>
      <c r="E28" s="79"/>
      <c r="F28" s="79"/>
    </row>
    <row r="29" spans="1:11" x14ac:dyDescent="0.3">
      <c r="A29" s="54" t="s">
        <v>238</v>
      </c>
      <c r="B29" s="2" t="s">
        <v>235</v>
      </c>
    </row>
    <row r="30" spans="1:11" x14ac:dyDescent="0.3">
      <c r="B30" t="s">
        <v>218</v>
      </c>
      <c r="C30" s="79">
        <v>5533203566</v>
      </c>
      <c r="D30" s="79">
        <v>5565714265</v>
      </c>
      <c r="E30" s="79">
        <v>7084807443</v>
      </c>
      <c r="F30" s="79">
        <v>7627793180</v>
      </c>
    </row>
    <row r="31" spans="1:11" x14ac:dyDescent="0.3">
      <c r="B31" t="s">
        <v>220</v>
      </c>
      <c r="C31" s="79">
        <v>37730419</v>
      </c>
      <c r="D31" s="79">
        <v>25469391</v>
      </c>
      <c r="E31" s="79">
        <v>32445707</v>
      </c>
      <c r="F31" s="79">
        <v>34177391</v>
      </c>
    </row>
    <row r="32" spans="1:11" x14ac:dyDescent="0.3">
      <c r="B32" t="s">
        <v>219</v>
      </c>
      <c r="C32" s="79">
        <v>5570933985</v>
      </c>
      <c r="D32" s="79">
        <v>5591183656</v>
      </c>
      <c r="E32" s="79">
        <v>7117253150</v>
      </c>
      <c r="F32" s="79">
        <v>7661970571</v>
      </c>
    </row>
    <row r="34" spans="1:11" x14ac:dyDescent="0.3">
      <c r="A34" s="54" t="s">
        <v>266</v>
      </c>
      <c r="B34" s="2" t="s">
        <v>239</v>
      </c>
    </row>
    <row r="35" spans="1:11" x14ac:dyDescent="0.3">
      <c r="B35" t="s">
        <v>240</v>
      </c>
      <c r="C35" s="34">
        <v>1132836.6309</v>
      </c>
      <c r="D35" s="34">
        <v>1368820.9313999999</v>
      </c>
      <c r="E35" s="34">
        <v>1600585.9</v>
      </c>
      <c r="F35" s="34">
        <v>2484861.5188000002</v>
      </c>
    </row>
    <row r="36" spans="1:11" x14ac:dyDescent="0.3">
      <c r="B36" t="s">
        <v>241</v>
      </c>
      <c r="C36" s="34">
        <v>443728.29210000002</v>
      </c>
      <c r="D36" s="34">
        <v>455535.69300000003</v>
      </c>
      <c r="E36" s="34">
        <v>517001.42800000001</v>
      </c>
      <c r="F36" s="34">
        <v>702414.95869999996</v>
      </c>
    </row>
    <row r="37" spans="1:11" x14ac:dyDescent="0.3">
      <c r="B37" s="2" t="s">
        <v>244</v>
      </c>
      <c r="C37" s="90">
        <v>1576564.923</v>
      </c>
      <c r="D37" s="90">
        <v>1824356.6244000001</v>
      </c>
      <c r="E37" s="90">
        <v>2117587.3280000002</v>
      </c>
      <c r="F37" s="90">
        <v>3187276.4775</v>
      </c>
    </row>
    <row r="38" spans="1:11" x14ac:dyDescent="0.3">
      <c r="C38" s="34"/>
      <c r="D38" s="34"/>
      <c r="E38" s="34"/>
      <c r="F38" s="34"/>
    </row>
    <row r="39" spans="1:11" x14ac:dyDescent="0.3">
      <c r="B39" t="s">
        <v>242</v>
      </c>
      <c r="C39" s="34">
        <v>1368820.9313999999</v>
      </c>
      <c r="D39" s="34">
        <v>1600585.9</v>
      </c>
      <c r="E39" s="34">
        <v>2484861.5188000002</v>
      </c>
      <c r="F39" s="34">
        <v>2619608.6170999999</v>
      </c>
    </row>
    <row r="40" spans="1:11" x14ac:dyDescent="0.3">
      <c r="B40" t="s">
        <v>243</v>
      </c>
      <c r="C40" s="34">
        <v>455535.69300000003</v>
      </c>
      <c r="D40" s="34">
        <v>517001.42800000001</v>
      </c>
      <c r="E40" s="34">
        <v>702414.95869999996</v>
      </c>
      <c r="F40" s="34">
        <v>836359.67359999998</v>
      </c>
    </row>
    <row r="41" spans="1:11" x14ac:dyDescent="0.3">
      <c r="B41" s="2" t="s">
        <v>245</v>
      </c>
      <c r="C41" s="90">
        <v>1824356.6244000001</v>
      </c>
      <c r="D41" s="90">
        <v>2117587.3280000002</v>
      </c>
      <c r="E41" s="90">
        <v>3187276.4775</v>
      </c>
      <c r="F41" s="90">
        <v>3455968.2906999998</v>
      </c>
    </row>
    <row r="42" spans="1:11" x14ac:dyDescent="0.3">
      <c r="B42" s="2" t="s">
        <v>246</v>
      </c>
      <c r="C42" s="90">
        <v>1700460.7737</v>
      </c>
      <c r="D42" s="90">
        <v>1970971.9761999999</v>
      </c>
      <c r="E42" s="90">
        <v>2652431.9027499999</v>
      </c>
      <c r="F42" s="90">
        <v>3321622.3840999999</v>
      </c>
    </row>
    <row r="44" spans="1:11" x14ac:dyDescent="0.3">
      <c r="B44" s="2" t="s">
        <v>98</v>
      </c>
    </row>
    <row r="45" spans="1:11" x14ac:dyDescent="0.3">
      <c r="B45" t="s">
        <v>248</v>
      </c>
      <c r="C45" s="34">
        <v>1746870.5237</v>
      </c>
      <c r="D45" s="34">
        <v>2068535.0503</v>
      </c>
      <c r="E45" s="34">
        <v>2466081.4672000003</v>
      </c>
      <c r="F45" s="34">
        <v>3617623.0869</v>
      </c>
    </row>
    <row r="46" spans="1:11" x14ac:dyDescent="0.3">
      <c r="B46" t="s">
        <v>249</v>
      </c>
      <c r="C46" s="34">
        <v>2068535.0503</v>
      </c>
      <c r="D46" s="34">
        <v>2466081.4672000003</v>
      </c>
      <c r="E46" s="34">
        <v>3617623.0869</v>
      </c>
      <c r="F46" s="34">
        <v>3910198.9445999996</v>
      </c>
    </row>
    <row r="47" spans="1:11" x14ac:dyDescent="0.3">
      <c r="B47" s="94" t="s">
        <v>234</v>
      </c>
      <c r="C47" s="94">
        <f>SUM(C45:C46)/2</f>
        <v>1907702.787</v>
      </c>
      <c r="D47" s="94">
        <f t="shared" ref="D47:F47" si="6">SUM(D45:D46)/2</f>
        <v>2267308.25875</v>
      </c>
      <c r="E47" s="94">
        <f t="shared" si="6"/>
        <v>3041852.2770500001</v>
      </c>
      <c r="F47" s="94">
        <f t="shared" si="6"/>
        <v>3763911.0157499998</v>
      </c>
      <c r="G47" s="88"/>
      <c r="H47" s="88"/>
      <c r="I47" s="88"/>
      <c r="J47" s="88"/>
      <c r="K47" s="93" t="s">
        <v>250</v>
      </c>
    </row>
    <row r="49" spans="1:6" x14ac:dyDescent="0.3">
      <c r="A49" s="54" t="s">
        <v>271</v>
      </c>
      <c r="B49" s="2" t="s">
        <v>272</v>
      </c>
    </row>
    <row r="50" spans="1:6" x14ac:dyDescent="0.3">
      <c r="B50" t="s">
        <v>273</v>
      </c>
      <c r="C50" s="74">
        <v>8392.2099999999991</v>
      </c>
      <c r="D50" s="74">
        <v>7827.16</v>
      </c>
      <c r="E50" s="74">
        <v>11508.47</v>
      </c>
      <c r="F50" s="74">
        <v>14452.42</v>
      </c>
    </row>
    <row r="51" spans="1:6" x14ac:dyDescent="0.3">
      <c r="B51" t="s">
        <v>274</v>
      </c>
      <c r="C51" s="74">
        <v>6347.08</v>
      </c>
      <c r="D51" s="74">
        <v>8745.35</v>
      </c>
      <c r="E51" s="74">
        <v>17063.72</v>
      </c>
      <c r="F51" s="74">
        <v>17643.580000000002</v>
      </c>
    </row>
    <row r="52" spans="1:6" x14ac:dyDescent="0.3">
      <c r="B52" t="s">
        <v>275</v>
      </c>
      <c r="C52" s="74">
        <v>1401.67</v>
      </c>
      <c r="D52" s="74">
        <v>1446.52</v>
      </c>
      <c r="E52" s="74">
        <v>2601.13</v>
      </c>
      <c r="F52" s="74">
        <v>3126.64</v>
      </c>
    </row>
    <row r="53" spans="1:6" x14ac:dyDescent="0.3">
      <c r="B53" s="2" t="s">
        <v>252</v>
      </c>
      <c r="C53" s="99">
        <f t="shared" ref="C53:E53" si="7">SUM(C50:C52)</f>
        <v>16140.96</v>
      </c>
      <c r="D53" s="99">
        <f t="shared" si="7"/>
        <v>18019.030000000002</v>
      </c>
      <c r="E53" s="99">
        <f t="shared" si="7"/>
        <v>31173.320000000003</v>
      </c>
      <c r="F53" s="99">
        <f>SUM(F50:F52)</f>
        <v>35222.639999999999</v>
      </c>
    </row>
    <row r="54" spans="1:6" x14ac:dyDescent="0.3">
      <c r="B54" t="s">
        <v>276</v>
      </c>
      <c r="C54" s="74">
        <v>11733.28</v>
      </c>
      <c r="D54" s="74">
        <v>13650.6</v>
      </c>
      <c r="E54" s="74">
        <v>23081.58</v>
      </c>
      <c r="F54" s="74">
        <v>23902.21</v>
      </c>
    </row>
    <row r="55" spans="1:6" x14ac:dyDescent="0.3">
      <c r="B55" s="2" t="s">
        <v>253</v>
      </c>
      <c r="C55" s="99">
        <f>C53-C54</f>
        <v>4407.6799999999985</v>
      </c>
      <c r="D55" s="99">
        <f>D53-D54</f>
        <v>4368.4300000000021</v>
      </c>
      <c r="E55" s="99">
        <f>E53-E54</f>
        <v>8091.7400000000016</v>
      </c>
      <c r="F55" s="99">
        <f>F53-F54</f>
        <v>11320.43</v>
      </c>
    </row>
  </sheetData>
  <mergeCells count="1">
    <mergeCell ref="B1:K1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/>
  <dimension ref="A1:K93"/>
  <sheetViews>
    <sheetView zoomScale="120" zoomScaleNormal="120" zoomScalePageLayoutView="120" workbookViewId="0">
      <pane xSplit="1" ySplit="1" topLeftCell="B67" activePane="bottomRight" state="frozen"/>
      <selection activeCell="C4" sqref="C4"/>
      <selection pane="topRight" activeCell="C4" sqref="C4"/>
      <selection pane="bottomLeft" activeCell="C4" sqref="C4"/>
      <selection pane="bottomRight" activeCell="E92" sqref="E92"/>
    </sheetView>
  </sheetViews>
  <sheetFormatPr defaultColWidth="8.77734375" defaultRowHeight="14.4" x14ac:dyDescent="0.3"/>
  <cols>
    <col min="1" max="1" width="27.6640625" style="4" bestFit="1" customWidth="1"/>
    <col min="2" max="11" width="13.44140625" style="4" bestFit="1" customWidth="1"/>
    <col min="12" max="16384" width="8.77734375" style="4"/>
  </cols>
  <sheetData>
    <row r="1" spans="1:11" s="1" customFormat="1" x14ac:dyDescent="0.3">
      <c r="A1" s="1" t="s">
        <v>0</v>
      </c>
      <c r="B1" s="1" t="s">
        <v>63</v>
      </c>
      <c r="E1" s="120" t="str">
        <f>IF(B2&lt;&gt;B3, "A NEW VERSION OF THE WORKSHEET IS AVAILABLE", "")</f>
        <v/>
      </c>
      <c r="F1" s="120"/>
      <c r="G1" s="120"/>
      <c r="H1" s="120"/>
      <c r="I1" s="120"/>
      <c r="J1" s="120"/>
      <c r="K1" s="120"/>
    </row>
    <row r="2" spans="1:11" x14ac:dyDescent="0.3">
      <c r="A2" s="1" t="s">
        <v>61</v>
      </c>
      <c r="B2" s="4">
        <v>2.1</v>
      </c>
      <c r="E2" s="121" t="s">
        <v>36</v>
      </c>
      <c r="F2" s="121"/>
      <c r="G2" s="121"/>
      <c r="H2" s="121"/>
      <c r="I2" s="121"/>
      <c r="J2" s="121"/>
      <c r="K2" s="121"/>
    </row>
    <row r="3" spans="1:11" x14ac:dyDescent="0.3">
      <c r="A3" s="1" t="s">
        <v>62</v>
      </c>
      <c r="B3" s="4">
        <v>2.1</v>
      </c>
    </row>
    <row r="4" spans="1:11" x14ac:dyDescent="0.3">
      <c r="A4" s="1"/>
    </row>
    <row r="5" spans="1:11" x14ac:dyDescent="0.3">
      <c r="A5" s="1" t="s">
        <v>64</v>
      </c>
    </row>
    <row r="6" spans="1:11" x14ac:dyDescent="0.3">
      <c r="A6" s="4" t="s">
        <v>42</v>
      </c>
      <c r="B6" s="4">
        <f>IF(B9&gt;0, B9/B8, 0)</f>
        <v>1538.6372193697778</v>
      </c>
    </row>
    <row r="7" spans="1:11" x14ac:dyDescent="0.3">
      <c r="A7" s="4" t="s">
        <v>31</v>
      </c>
      <c r="B7">
        <v>1</v>
      </c>
    </row>
    <row r="8" spans="1:11" x14ac:dyDescent="0.3">
      <c r="A8" s="4" t="s">
        <v>43</v>
      </c>
      <c r="B8">
        <v>993.3</v>
      </c>
    </row>
    <row r="9" spans="1:11" x14ac:dyDescent="0.3">
      <c r="A9" s="4" t="s">
        <v>79</v>
      </c>
      <c r="B9">
        <v>1528328.35</v>
      </c>
    </row>
    <row r="15" spans="1:11" x14ac:dyDescent="0.3">
      <c r="A15" s="1" t="s">
        <v>37</v>
      </c>
    </row>
    <row r="16" spans="1:11" s="18" customFormat="1" x14ac:dyDescent="0.3">
      <c r="A16" s="17" t="s">
        <v>38</v>
      </c>
      <c r="B16" s="12">
        <v>42460</v>
      </c>
      <c r="C16" s="12">
        <v>42825</v>
      </c>
      <c r="D16" s="12">
        <v>43190</v>
      </c>
      <c r="E16" s="12">
        <v>43555</v>
      </c>
      <c r="F16" s="12">
        <v>43921</v>
      </c>
      <c r="G16" s="12">
        <v>44286</v>
      </c>
      <c r="H16" s="12">
        <v>44651</v>
      </c>
      <c r="I16" s="12">
        <v>45016</v>
      </c>
      <c r="J16" s="12">
        <v>45382</v>
      </c>
      <c r="K16" s="12">
        <v>45747</v>
      </c>
    </row>
    <row r="17" spans="1:11" s="6" customFormat="1" x14ac:dyDescent="0.3">
      <c r="A17" s="6" t="s">
        <v>6</v>
      </c>
      <c r="B17">
        <v>63161.56</v>
      </c>
      <c r="C17">
        <v>73271.350000000006</v>
      </c>
      <c r="D17">
        <v>85287.84</v>
      </c>
      <c r="E17">
        <v>105160.74</v>
      </c>
      <c r="F17">
        <v>122189.29</v>
      </c>
      <c r="G17">
        <v>128552.4</v>
      </c>
      <c r="H17">
        <v>135936.41</v>
      </c>
      <c r="I17">
        <v>170754.05</v>
      </c>
      <c r="J17">
        <v>283649.02</v>
      </c>
      <c r="K17">
        <v>336367.43</v>
      </c>
    </row>
    <row r="18" spans="1:11" s="6" customFormat="1" x14ac:dyDescent="0.3">
      <c r="A18" s="4" t="s">
        <v>80</v>
      </c>
    </row>
    <row r="19" spans="1:11" s="6" customFormat="1" x14ac:dyDescent="0.3">
      <c r="A19" s="4" t="s">
        <v>81</v>
      </c>
    </row>
    <row r="20" spans="1:11" s="6" customFormat="1" x14ac:dyDescent="0.3">
      <c r="A20" s="4" t="s">
        <v>82</v>
      </c>
    </row>
    <row r="21" spans="1:11" s="6" customFormat="1" x14ac:dyDescent="0.3">
      <c r="A21" s="4" t="s">
        <v>83</v>
      </c>
      <c r="B21">
        <v>1041.79</v>
      </c>
      <c r="C21">
        <v>1271.8</v>
      </c>
      <c r="D21">
        <v>1314.97</v>
      </c>
      <c r="E21">
        <v>1283.53</v>
      </c>
      <c r="F21">
        <v>1293.44</v>
      </c>
      <c r="G21">
        <v>1649.11</v>
      </c>
      <c r="H21">
        <v>1772.27</v>
      </c>
      <c r="I21">
        <v>2176.5</v>
      </c>
      <c r="J21">
        <v>3255.75</v>
      </c>
      <c r="K21">
        <v>3943.56</v>
      </c>
    </row>
    <row r="22" spans="1:11" s="6" customFormat="1" x14ac:dyDescent="0.3">
      <c r="A22" s="4" t="s">
        <v>84</v>
      </c>
      <c r="B22">
        <v>6309.03</v>
      </c>
      <c r="C22">
        <v>8508.2199999999993</v>
      </c>
      <c r="D22">
        <v>9197.15</v>
      </c>
      <c r="E22">
        <v>10454.75</v>
      </c>
      <c r="F22">
        <v>12924.1</v>
      </c>
      <c r="G22">
        <v>13682.35</v>
      </c>
      <c r="H22">
        <v>15904.81</v>
      </c>
      <c r="I22">
        <v>20031.36</v>
      </c>
      <c r="J22">
        <v>31050.07</v>
      </c>
      <c r="K22">
        <v>34167.89</v>
      </c>
    </row>
    <row r="23" spans="1:11" s="6" customFormat="1" x14ac:dyDescent="0.3">
      <c r="A23" s="4" t="s">
        <v>85</v>
      </c>
      <c r="B23">
        <v>3043.15</v>
      </c>
      <c r="C23">
        <v>3328.39</v>
      </c>
      <c r="D23">
        <v>3658.43</v>
      </c>
      <c r="E23">
        <v>3900.17</v>
      </c>
      <c r="F23">
        <v>4192.1499999999996</v>
      </c>
      <c r="G23">
        <v>4780.54</v>
      </c>
      <c r="H23">
        <v>5406.79</v>
      </c>
      <c r="I23">
        <v>6580</v>
      </c>
      <c r="J23">
        <v>87580.05</v>
      </c>
      <c r="K23">
        <v>105188.45</v>
      </c>
    </row>
    <row r="24" spans="1:11" s="6" customFormat="1" x14ac:dyDescent="0.3">
      <c r="A24" s="4" t="s">
        <v>86</v>
      </c>
      <c r="B24">
        <v>9660.65</v>
      </c>
      <c r="C24">
        <v>10747.28</v>
      </c>
      <c r="D24">
        <v>15361.71</v>
      </c>
      <c r="E24">
        <v>19217.82</v>
      </c>
      <c r="F24">
        <v>27049.52</v>
      </c>
      <c r="G24">
        <v>32344.53</v>
      </c>
      <c r="H24">
        <v>33473.089999999997</v>
      </c>
      <c r="I24">
        <v>34254.44</v>
      </c>
      <c r="J24">
        <v>52309.67</v>
      </c>
      <c r="K24">
        <v>43674.55</v>
      </c>
    </row>
    <row r="25" spans="1:11" s="6" customFormat="1" x14ac:dyDescent="0.3">
      <c r="A25" s="6" t="s">
        <v>9</v>
      </c>
      <c r="B25">
        <v>11211.65</v>
      </c>
      <c r="C25">
        <v>12905.08</v>
      </c>
      <c r="D25">
        <v>16056.6</v>
      </c>
      <c r="E25">
        <v>18947.05</v>
      </c>
      <c r="F25">
        <v>24878.97</v>
      </c>
      <c r="G25">
        <v>27332.880000000001</v>
      </c>
      <c r="H25">
        <v>31758.99</v>
      </c>
      <c r="I25">
        <v>33912.050000000003</v>
      </c>
      <c r="J25">
        <v>124345.75</v>
      </c>
      <c r="K25">
        <v>134548.5</v>
      </c>
    </row>
    <row r="26" spans="1:11" s="6" customFormat="1" x14ac:dyDescent="0.3">
      <c r="A26" s="6" t="s">
        <v>10</v>
      </c>
      <c r="B26">
        <v>738.03</v>
      </c>
      <c r="C26">
        <v>886.19</v>
      </c>
      <c r="D26">
        <v>966.78</v>
      </c>
      <c r="E26">
        <v>1220.67</v>
      </c>
      <c r="F26">
        <v>1276.77</v>
      </c>
      <c r="G26">
        <v>1385.01</v>
      </c>
      <c r="H26">
        <v>1680.73</v>
      </c>
      <c r="I26">
        <v>2345.4699999999998</v>
      </c>
      <c r="J26">
        <v>3092.08</v>
      </c>
      <c r="K26">
        <v>3805.23</v>
      </c>
    </row>
    <row r="27" spans="1:11" s="6" customFormat="1" x14ac:dyDescent="0.3">
      <c r="A27" s="6" t="s">
        <v>11</v>
      </c>
      <c r="B27">
        <v>34069.57</v>
      </c>
      <c r="C27">
        <v>38041.58</v>
      </c>
      <c r="D27">
        <v>42381.48</v>
      </c>
      <c r="E27">
        <v>53712.69</v>
      </c>
      <c r="F27">
        <v>62137.42</v>
      </c>
      <c r="G27">
        <v>59247.59</v>
      </c>
      <c r="H27">
        <v>58584.33</v>
      </c>
      <c r="I27">
        <v>77779.94</v>
      </c>
      <c r="J27">
        <v>154138.54999999999</v>
      </c>
      <c r="K27">
        <v>183894.2</v>
      </c>
    </row>
    <row r="28" spans="1:11" s="6" customFormat="1" x14ac:dyDescent="0.3">
      <c r="A28" s="6" t="s">
        <v>12</v>
      </c>
      <c r="B28">
        <v>19510.990000000002</v>
      </c>
      <c r="C28">
        <v>23392.97</v>
      </c>
      <c r="D28">
        <v>28463.919999999998</v>
      </c>
      <c r="E28">
        <v>34318.160000000003</v>
      </c>
      <c r="F28">
        <v>38194.86</v>
      </c>
      <c r="G28">
        <v>42796.15</v>
      </c>
      <c r="H28">
        <v>50873.38</v>
      </c>
      <c r="I28">
        <v>61498.39</v>
      </c>
      <c r="J28">
        <v>76568.600000000006</v>
      </c>
      <c r="K28">
        <v>96242.05</v>
      </c>
    </row>
    <row r="29" spans="1:11" s="6" customFormat="1" x14ac:dyDescent="0.3">
      <c r="A29" s="6" t="s">
        <v>13</v>
      </c>
      <c r="B29">
        <v>6693.66</v>
      </c>
      <c r="C29">
        <v>8078.12</v>
      </c>
      <c r="D29">
        <v>9903.08</v>
      </c>
      <c r="E29">
        <v>11872.55</v>
      </c>
      <c r="F29">
        <v>10898.59</v>
      </c>
      <c r="G29">
        <v>10939.38</v>
      </c>
      <c r="H29">
        <v>12722.48</v>
      </c>
      <c r="I29">
        <v>15349.69</v>
      </c>
      <c r="J29">
        <v>11122.1</v>
      </c>
      <c r="K29">
        <v>22801.88</v>
      </c>
    </row>
    <row r="30" spans="1:11" s="6" customFormat="1" x14ac:dyDescent="0.3">
      <c r="A30" s="6" t="s">
        <v>14</v>
      </c>
      <c r="B30">
        <v>12801.33</v>
      </c>
      <c r="C30">
        <v>15280.48</v>
      </c>
      <c r="D30">
        <v>18510.02</v>
      </c>
      <c r="E30">
        <v>22332.43</v>
      </c>
      <c r="F30">
        <v>27253.95</v>
      </c>
      <c r="G30">
        <v>31833.21</v>
      </c>
      <c r="H30">
        <v>38052.75</v>
      </c>
      <c r="I30">
        <v>45997.11</v>
      </c>
      <c r="J30">
        <v>64062.04</v>
      </c>
      <c r="K30">
        <v>70792.25</v>
      </c>
    </row>
    <row r="31" spans="1:11" s="6" customFormat="1" x14ac:dyDescent="0.3">
      <c r="A31" s="6" t="s">
        <v>70</v>
      </c>
      <c r="B31">
        <v>2401.79</v>
      </c>
      <c r="C31">
        <v>2818.8</v>
      </c>
      <c r="D31">
        <v>3373.63</v>
      </c>
      <c r="E31">
        <v>4084.95</v>
      </c>
      <c r="F31">
        <v>1370.82</v>
      </c>
      <c r="G31">
        <v>3583.32</v>
      </c>
      <c r="H31">
        <v>8595.52</v>
      </c>
      <c r="I31">
        <v>10601.43</v>
      </c>
      <c r="J31">
        <v>14813.96</v>
      </c>
      <c r="K31">
        <v>16834.84</v>
      </c>
    </row>
    <row r="32" spans="1:11" s="6" customFormat="1" x14ac:dyDescent="0.3"/>
    <row r="33" spans="1:11" x14ac:dyDescent="0.3">
      <c r="A33" s="6"/>
    </row>
    <row r="34" spans="1:11" x14ac:dyDescent="0.3">
      <c r="A34" s="6"/>
    </row>
    <row r="35" spans="1:11" x14ac:dyDescent="0.3">
      <c r="A35" s="6"/>
    </row>
    <row r="36" spans="1:11" x14ac:dyDescent="0.3">
      <c r="A36" s="6"/>
    </row>
    <row r="37" spans="1:11" x14ac:dyDescent="0.3">
      <c r="A37" s="6"/>
    </row>
    <row r="38" spans="1:11" x14ac:dyDescent="0.3">
      <c r="A38" s="6"/>
    </row>
    <row r="39" spans="1:11" x14ac:dyDescent="0.3">
      <c r="A39" s="6"/>
    </row>
    <row r="40" spans="1:11" x14ac:dyDescent="0.3">
      <c r="A40" s="1" t="s">
        <v>39</v>
      </c>
    </row>
    <row r="41" spans="1:11" s="18" customFormat="1" x14ac:dyDescent="0.3">
      <c r="A41" s="17" t="s">
        <v>38</v>
      </c>
      <c r="B41" s="12">
        <v>45107</v>
      </c>
      <c r="C41" s="12">
        <v>45199</v>
      </c>
      <c r="D41" s="12">
        <v>45291</v>
      </c>
      <c r="E41" s="12">
        <v>45382</v>
      </c>
      <c r="F41" s="12">
        <v>45473</v>
      </c>
      <c r="G41" s="12">
        <v>45565</v>
      </c>
      <c r="H41" s="12">
        <v>45657</v>
      </c>
      <c r="I41" s="12">
        <v>45747</v>
      </c>
      <c r="J41" s="12">
        <v>45838</v>
      </c>
      <c r="K41" s="12">
        <v>45930</v>
      </c>
    </row>
    <row r="42" spans="1:11" s="6" customFormat="1" x14ac:dyDescent="0.3">
      <c r="A42" s="6" t="s">
        <v>6</v>
      </c>
      <c r="B42">
        <v>51168.14</v>
      </c>
      <c r="C42">
        <v>75039.100000000006</v>
      </c>
      <c r="D42">
        <v>78008.17</v>
      </c>
      <c r="E42">
        <v>79433.61</v>
      </c>
      <c r="F42">
        <v>81546.2</v>
      </c>
      <c r="G42">
        <v>83001.72</v>
      </c>
      <c r="H42">
        <v>85040.17</v>
      </c>
      <c r="I42">
        <v>86779.34</v>
      </c>
      <c r="J42">
        <v>87371.87</v>
      </c>
      <c r="K42">
        <v>86993.84</v>
      </c>
    </row>
    <row r="43" spans="1:11" s="6" customFormat="1" x14ac:dyDescent="0.3">
      <c r="A43" s="6" t="s">
        <v>7</v>
      </c>
      <c r="B43">
        <v>18469.810000000001</v>
      </c>
      <c r="C43">
        <v>45349.33</v>
      </c>
      <c r="D43">
        <v>50530.03</v>
      </c>
      <c r="E43">
        <v>62938.45</v>
      </c>
      <c r="F43">
        <v>49689.62</v>
      </c>
      <c r="G43">
        <v>52074.11</v>
      </c>
      <c r="H43">
        <v>41306.79</v>
      </c>
      <c r="I43">
        <v>47709.16</v>
      </c>
      <c r="J43">
        <v>64496.63</v>
      </c>
      <c r="K43">
        <v>45160.88</v>
      </c>
    </row>
    <row r="44" spans="1:11" s="6" customFormat="1" x14ac:dyDescent="0.3">
      <c r="A44" s="6" t="s">
        <v>9</v>
      </c>
      <c r="B44">
        <v>9853.15</v>
      </c>
      <c r="C44">
        <v>32527.52</v>
      </c>
      <c r="D44">
        <v>37007.339999999997</v>
      </c>
      <c r="E44">
        <v>44957.74</v>
      </c>
      <c r="F44">
        <v>35450.29</v>
      </c>
      <c r="G44">
        <v>38455.019999999997</v>
      </c>
      <c r="H44">
        <v>27153.77</v>
      </c>
      <c r="I44">
        <v>33489.42</v>
      </c>
      <c r="J44">
        <v>45683.1</v>
      </c>
      <c r="K44">
        <v>31566.79</v>
      </c>
    </row>
    <row r="45" spans="1:11" s="6" customFormat="1" x14ac:dyDescent="0.3">
      <c r="A45" s="6" t="s">
        <v>10</v>
      </c>
    </row>
    <row r="46" spans="1:11" s="6" customFormat="1" x14ac:dyDescent="0.3">
      <c r="A46" s="6" t="s">
        <v>11</v>
      </c>
      <c r="B46">
        <v>25954.76</v>
      </c>
      <c r="C46">
        <v>41249.910000000003</v>
      </c>
      <c r="D46">
        <v>43242.37</v>
      </c>
      <c r="E46">
        <v>43691.51</v>
      </c>
      <c r="F46">
        <v>44579.5</v>
      </c>
      <c r="G46">
        <v>45414.21</v>
      </c>
      <c r="H46">
        <v>46914.28</v>
      </c>
      <c r="I46">
        <v>46986.21</v>
      </c>
      <c r="J46">
        <v>47708.51</v>
      </c>
      <c r="K46">
        <v>46740.86</v>
      </c>
    </row>
    <row r="47" spans="1:11" s="6" customFormat="1" x14ac:dyDescent="0.3">
      <c r="A47" s="6" t="s">
        <v>12</v>
      </c>
      <c r="B47">
        <v>16596.72</v>
      </c>
      <c r="C47">
        <v>20967.38</v>
      </c>
      <c r="D47">
        <v>21243.11</v>
      </c>
      <c r="E47">
        <v>17761.39</v>
      </c>
      <c r="F47">
        <v>22727.37</v>
      </c>
      <c r="G47">
        <v>23968.42</v>
      </c>
      <c r="H47">
        <v>23972.87</v>
      </c>
      <c r="I47">
        <v>25573.39</v>
      </c>
      <c r="J47">
        <v>20849.830000000002</v>
      </c>
      <c r="K47">
        <v>26658.89</v>
      </c>
    </row>
    <row r="48" spans="1:11" s="6" customFormat="1" x14ac:dyDescent="0.3">
      <c r="A48" s="6" t="s">
        <v>13</v>
      </c>
      <c r="B48">
        <v>4193.47</v>
      </c>
      <c r="C48">
        <v>3655</v>
      </c>
      <c r="D48">
        <v>3525.11</v>
      </c>
      <c r="E48">
        <v>-251.48</v>
      </c>
      <c r="F48">
        <v>5539.32</v>
      </c>
      <c r="G48">
        <v>5340.98</v>
      </c>
      <c r="H48">
        <v>5632.76</v>
      </c>
      <c r="I48">
        <v>6288.82</v>
      </c>
      <c r="J48">
        <v>3759.4</v>
      </c>
      <c r="K48">
        <v>6295.12</v>
      </c>
    </row>
    <row r="49" spans="1:11" s="6" customFormat="1" x14ac:dyDescent="0.3">
      <c r="A49" s="6" t="s">
        <v>14</v>
      </c>
      <c r="B49">
        <v>12370.38</v>
      </c>
      <c r="C49">
        <v>16811.41</v>
      </c>
      <c r="D49">
        <v>17257.87</v>
      </c>
      <c r="E49">
        <v>17622.38</v>
      </c>
      <c r="F49">
        <v>16474.849999999999</v>
      </c>
      <c r="G49">
        <v>17825.91</v>
      </c>
      <c r="H49">
        <v>17656.61</v>
      </c>
      <c r="I49">
        <v>18834.88</v>
      </c>
      <c r="J49">
        <v>16257.91</v>
      </c>
      <c r="K49">
        <v>19610.669999999998</v>
      </c>
    </row>
    <row r="50" spans="1:11" x14ac:dyDescent="0.3">
      <c r="A50" s="6" t="s">
        <v>8</v>
      </c>
      <c r="B50">
        <v>32698.33</v>
      </c>
      <c r="C50">
        <v>29689.77</v>
      </c>
      <c r="D50">
        <v>27478.14</v>
      </c>
      <c r="E50">
        <v>16495.16</v>
      </c>
      <c r="F50">
        <v>31856.58</v>
      </c>
      <c r="G50">
        <v>30927.61</v>
      </c>
      <c r="H50">
        <v>43733.38</v>
      </c>
      <c r="I50">
        <v>39070.18</v>
      </c>
      <c r="J50">
        <v>22875.24</v>
      </c>
      <c r="K50">
        <v>41832.959999999999</v>
      </c>
    </row>
    <row r="51" spans="1:11" x14ac:dyDescent="0.3">
      <c r="A51" s="6"/>
    </row>
    <row r="52" spans="1:11" x14ac:dyDescent="0.3">
      <c r="A52" s="6"/>
    </row>
    <row r="53" spans="1:11" x14ac:dyDescent="0.3">
      <c r="A53" s="6"/>
    </row>
    <row r="54" spans="1:11" x14ac:dyDescent="0.3">
      <c r="A54" s="6"/>
    </row>
    <row r="55" spans="1:11" x14ac:dyDescent="0.3">
      <c r="A55" s="1" t="s">
        <v>40</v>
      </c>
    </row>
    <row r="56" spans="1:11" s="18" customFormat="1" x14ac:dyDescent="0.3">
      <c r="A56" s="17" t="s">
        <v>38</v>
      </c>
      <c r="B56" s="12">
        <v>42460</v>
      </c>
      <c r="C56" s="12">
        <v>42825</v>
      </c>
      <c r="D56" s="12">
        <v>43190</v>
      </c>
      <c r="E56" s="12">
        <v>43555</v>
      </c>
      <c r="F56" s="12">
        <v>43921</v>
      </c>
      <c r="G56" s="12">
        <v>44286</v>
      </c>
      <c r="H56" s="12">
        <v>44651</v>
      </c>
      <c r="I56" s="12">
        <v>45016</v>
      </c>
      <c r="J56" s="12">
        <v>45382</v>
      </c>
      <c r="K56" s="12">
        <v>45747</v>
      </c>
    </row>
    <row r="57" spans="1:11" x14ac:dyDescent="0.3">
      <c r="A57" s="6" t="s">
        <v>24</v>
      </c>
      <c r="B57">
        <v>505.64</v>
      </c>
      <c r="C57">
        <v>512.51</v>
      </c>
      <c r="D57">
        <v>519.02</v>
      </c>
      <c r="E57">
        <v>544.66</v>
      </c>
      <c r="F57">
        <v>548.33000000000004</v>
      </c>
      <c r="G57">
        <v>551.28</v>
      </c>
      <c r="H57">
        <v>554.54999999999995</v>
      </c>
      <c r="I57">
        <v>557.97</v>
      </c>
      <c r="J57">
        <v>759.69</v>
      </c>
      <c r="K57">
        <v>765.22</v>
      </c>
    </row>
    <row r="58" spans="1:11" x14ac:dyDescent="0.3">
      <c r="A58" s="6" t="s">
        <v>25</v>
      </c>
      <c r="B58">
        <v>73798.490000000005</v>
      </c>
      <c r="C58">
        <v>91281.44</v>
      </c>
      <c r="D58">
        <v>109080.11</v>
      </c>
      <c r="E58">
        <v>153128</v>
      </c>
      <c r="F58">
        <v>175810.38</v>
      </c>
      <c r="G58">
        <v>209258.9</v>
      </c>
      <c r="H58">
        <v>246771.62</v>
      </c>
      <c r="I58">
        <v>288879.53000000003</v>
      </c>
      <c r="J58">
        <v>455635.56</v>
      </c>
      <c r="K58">
        <v>521024.17</v>
      </c>
    </row>
    <row r="59" spans="1:11" x14ac:dyDescent="0.3">
      <c r="A59" s="6" t="s">
        <v>71</v>
      </c>
      <c r="B59">
        <v>649587.25</v>
      </c>
      <c r="C59">
        <v>741549.89</v>
      </c>
      <c r="D59">
        <v>944817.22</v>
      </c>
      <c r="E59">
        <v>1080235.46</v>
      </c>
      <c r="F59">
        <v>1333041.45</v>
      </c>
      <c r="G59">
        <v>1511417.62</v>
      </c>
      <c r="H59">
        <v>1784969.53</v>
      </c>
      <c r="I59">
        <v>2139211.91</v>
      </c>
      <c r="J59">
        <v>3107502.74</v>
      </c>
      <c r="K59">
        <v>3345503.8</v>
      </c>
    </row>
    <row r="60" spans="1:11" x14ac:dyDescent="0.3">
      <c r="A60" s="6" t="s">
        <v>72</v>
      </c>
      <c r="B60">
        <v>38320.949999999997</v>
      </c>
      <c r="C60">
        <v>59000.32</v>
      </c>
      <c r="D60">
        <v>48769.82</v>
      </c>
      <c r="E60">
        <v>58897.59</v>
      </c>
      <c r="F60">
        <v>71430.27</v>
      </c>
      <c r="G60">
        <v>78278.83</v>
      </c>
      <c r="H60">
        <v>90638.6</v>
      </c>
      <c r="I60">
        <v>101783.03</v>
      </c>
      <c r="J60">
        <v>466296.27</v>
      </c>
      <c r="K60">
        <v>524816.64000000001</v>
      </c>
    </row>
    <row r="61" spans="1:11" s="1" customFormat="1" x14ac:dyDescent="0.3">
      <c r="A61" s="1" t="s">
        <v>26</v>
      </c>
      <c r="B61">
        <v>762212.33</v>
      </c>
      <c r="C61">
        <v>892344.16</v>
      </c>
      <c r="D61">
        <v>1103186.17</v>
      </c>
      <c r="E61">
        <v>1292805.71</v>
      </c>
      <c r="F61">
        <v>1580830.43</v>
      </c>
      <c r="G61">
        <v>1799506.63</v>
      </c>
      <c r="H61">
        <v>2122934.2999999998</v>
      </c>
      <c r="I61">
        <v>2530432.44</v>
      </c>
      <c r="J61">
        <v>4030194.26</v>
      </c>
      <c r="K61">
        <v>4392109.83</v>
      </c>
    </row>
    <row r="62" spans="1:11" x14ac:dyDescent="0.3">
      <c r="A62" s="6" t="s">
        <v>27</v>
      </c>
      <c r="B62">
        <v>3666.86</v>
      </c>
      <c r="C62">
        <v>3999.7</v>
      </c>
      <c r="D62">
        <v>4008.13</v>
      </c>
      <c r="E62">
        <v>4368.63</v>
      </c>
      <c r="F62">
        <v>4775.6499999999996</v>
      </c>
      <c r="G62">
        <v>5248.35</v>
      </c>
      <c r="H62">
        <v>6432.07</v>
      </c>
      <c r="I62">
        <v>8431.35</v>
      </c>
      <c r="J62">
        <v>12603.76</v>
      </c>
      <c r="K62">
        <v>15257.94</v>
      </c>
    </row>
    <row r="63" spans="1:11" x14ac:dyDescent="0.3">
      <c r="A63" s="6" t="s">
        <v>28</v>
      </c>
    </row>
    <row r="64" spans="1:11" x14ac:dyDescent="0.3">
      <c r="A64" s="6" t="s">
        <v>29</v>
      </c>
      <c r="B64">
        <v>193633.85</v>
      </c>
      <c r="C64">
        <v>210777.11</v>
      </c>
      <c r="D64">
        <v>238460.92</v>
      </c>
      <c r="E64">
        <v>289445.87</v>
      </c>
      <c r="F64">
        <v>389304.95</v>
      </c>
      <c r="G64">
        <v>438823.11</v>
      </c>
      <c r="H64">
        <v>449263.86</v>
      </c>
      <c r="I64">
        <v>511581.71</v>
      </c>
      <c r="J64">
        <v>1005681.63</v>
      </c>
      <c r="K64">
        <v>1186472.8899999999</v>
      </c>
    </row>
    <row r="65" spans="1:11" x14ac:dyDescent="0.3">
      <c r="A65" s="6" t="s">
        <v>73</v>
      </c>
      <c r="B65">
        <v>564911.62</v>
      </c>
      <c r="C65">
        <v>677567.35</v>
      </c>
      <c r="D65">
        <v>860717.12</v>
      </c>
      <c r="E65">
        <v>998991.21</v>
      </c>
      <c r="F65">
        <v>1186749.83</v>
      </c>
      <c r="G65">
        <v>1355435.17</v>
      </c>
      <c r="H65">
        <v>1667238.37</v>
      </c>
      <c r="I65">
        <v>2010419.38</v>
      </c>
      <c r="J65">
        <v>3011908.87</v>
      </c>
      <c r="K65">
        <v>3190379</v>
      </c>
    </row>
    <row r="66" spans="1:11" s="1" customFormat="1" x14ac:dyDescent="0.3">
      <c r="A66" s="1" t="s">
        <v>26</v>
      </c>
      <c r="B66">
        <v>762212.33</v>
      </c>
      <c r="C66">
        <v>892344.16</v>
      </c>
      <c r="D66">
        <v>1103186.17</v>
      </c>
      <c r="E66">
        <v>1292805.71</v>
      </c>
      <c r="F66">
        <v>1580830.43</v>
      </c>
      <c r="G66">
        <v>1799506.63</v>
      </c>
      <c r="H66">
        <v>2122934.2999999998</v>
      </c>
      <c r="I66">
        <v>2530432.44</v>
      </c>
      <c r="J66">
        <v>4030194.26</v>
      </c>
      <c r="K66">
        <v>4392109.83</v>
      </c>
    </row>
    <row r="67" spans="1:11" s="6" customFormat="1" x14ac:dyDescent="0.3">
      <c r="A67" s="6" t="s">
        <v>78</v>
      </c>
    </row>
    <row r="68" spans="1:11" x14ac:dyDescent="0.3">
      <c r="A68" s="6" t="s">
        <v>45</v>
      </c>
    </row>
    <row r="69" spans="1:11" x14ac:dyDescent="0.3">
      <c r="A69" s="4" t="s">
        <v>87</v>
      </c>
      <c r="B69">
        <v>24488.85</v>
      </c>
      <c r="C69">
        <v>33633.279999999999</v>
      </c>
      <c r="D69">
        <v>97138.14</v>
      </c>
      <c r="E69">
        <v>39372.129999999997</v>
      </c>
      <c r="F69">
        <v>62997.42</v>
      </c>
      <c r="G69">
        <v>86648.17</v>
      </c>
      <c r="H69">
        <v>118791.2</v>
      </c>
      <c r="I69">
        <v>103917.93</v>
      </c>
      <c r="J69">
        <v>165658.59</v>
      </c>
      <c r="K69">
        <v>132227.37</v>
      </c>
    </row>
    <row r="70" spans="1:11" x14ac:dyDescent="0.3">
      <c r="A70" s="4" t="s">
        <v>74</v>
      </c>
      <c r="B70">
        <v>2528186517</v>
      </c>
      <c r="C70">
        <v>2562545717</v>
      </c>
      <c r="D70">
        <v>2595090267</v>
      </c>
      <c r="E70">
        <v>2723306610</v>
      </c>
      <c r="F70">
        <v>5483286460</v>
      </c>
      <c r="G70">
        <v>5512776482</v>
      </c>
      <c r="H70">
        <v>5545540976</v>
      </c>
      <c r="I70">
        <v>5579742786</v>
      </c>
      <c r="J70">
        <v>7596910662</v>
      </c>
      <c r="K70">
        <v>7652221674</v>
      </c>
    </row>
    <row r="71" spans="1:11" x14ac:dyDescent="0.3">
      <c r="A71" s="4" t="s">
        <v>75</v>
      </c>
    </row>
    <row r="72" spans="1:11" x14ac:dyDescent="0.3">
      <c r="A72" s="4" t="s">
        <v>88</v>
      </c>
      <c r="B72">
        <v>2</v>
      </c>
      <c r="C72">
        <v>2</v>
      </c>
      <c r="D72">
        <v>2</v>
      </c>
      <c r="E72">
        <v>2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 x14ac:dyDescent="0.3">
      <c r="A74" s="6"/>
    </row>
    <row r="75" spans="1:11" x14ac:dyDescent="0.3">
      <c r="A75" s="6"/>
    </row>
    <row r="76" spans="1:11" x14ac:dyDescent="0.3">
      <c r="A76" s="6"/>
    </row>
    <row r="77" spans="1:11" x14ac:dyDescent="0.3">
      <c r="A77" s="6"/>
    </row>
    <row r="78" spans="1:11" x14ac:dyDescent="0.3">
      <c r="A78" s="6"/>
    </row>
    <row r="79" spans="1:11" x14ac:dyDescent="0.3">
      <c r="A79" s="6"/>
    </row>
    <row r="80" spans="1:11" x14ac:dyDescent="0.3">
      <c r="A80" s="1" t="s">
        <v>41</v>
      </c>
    </row>
    <row r="81" spans="1:11" s="18" customFormat="1" x14ac:dyDescent="0.3">
      <c r="A81" s="17" t="s">
        <v>38</v>
      </c>
      <c r="B81" s="12">
        <v>42460</v>
      </c>
      <c r="C81" s="12">
        <v>42825</v>
      </c>
      <c r="D81" s="12">
        <v>43190</v>
      </c>
      <c r="E81" s="12">
        <v>43555</v>
      </c>
      <c r="F81" s="12">
        <v>43921</v>
      </c>
      <c r="G81" s="12">
        <v>44286</v>
      </c>
      <c r="H81" s="12">
        <v>44651</v>
      </c>
      <c r="I81" s="12">
        <v>45016</v>
      </c>
      <c r="J81" s="12">
        <v>45382</v>
      </c>
      <c r="K81" s="12">
        <v>45747</v>
      </c>
    </row>
    <row r="82" spans="1:11" s="1" customFormat="1" x14ac:dyDescent="0.3">
      <c r="A82" s="6" t="s">
        <v>32</v>
      </c>
      <c r="B82">
        <v>-34435.370000000003</v>
      </c>
      <c r="C82">
        <v>17281.59</v>
      </c>
      <c r="D82">
        <v>17214.38</v>
      </c>
      <c r="E82">
        <v>-62871.54</v>
      </c>
      <c r="F82">
        <v>-16869.09</v>
      </c>
      <c r="G82">
        <v>42476.45</v>
      </c>
      <c r="H82">
        <v>-11959.57</v>
      </c>
      <c r="I82">
        <v>20813.7</v>
      </c>
      <c r="J82">
        <v>19069.34</v>
      </c>
      <c r="K82">
        <v>127241.84</v>
      </c>
    </row>
    <row r="83" spans="1:11" s="6" customFormat="1" x14ac:dyDescent="0.3">
      <c r="A83" s="6" t="s">
        <v>33</v>
      </c>
      <c r="B83">
        <v>-837.31</v>
      </c>
      <c r="C83">
        <v>-1146.3800000000001</v>
      </c>
      <c r="D83">
        <v>-841.6</v>
      </c>
      <c r="E83">
        <v>-1503.06</v>
      </c>
      <c r="F83">
        <v>-1402.94</v>
      </c>
      <c r="G83">
        <v>-1822.7</v>
      </c>
      <c r="H83">
        <v>-2051.23</v>
      </c>
      <c r="I83">
        <v>-2992.18</v>
      </c>
      <c r="J83">
        <v>16600.419999999998</v>
      </c>
      <c r="K83">
        <v>-3650.91</v>
      </c>
    </row>
    <row r="84" spans="1:11" s="6" customFormat="1" x14ac:dyDescent="0.3">
      <c r="A84" s="6" t="s">
        <v>34</v>
      </c>
      <c r="B84">
        <v>37815.129999999997</v>
      </c>
      <c r="C84">
        <v>-5892.97</v>
      </c>
      <c r="D84">
        <v>57377.66</v>
      </c>
      <c r="E84">
        <v>23130.69</v>
      </c>
      <c r="F84">
        <v>24394.5</v>
      </c>
      <c r="G84">
        <v>-7321.35</v>
      </c>
      <c r="H84">
        <v>48124.02</v>
      </c>
      <c r="I84">
        <v>23940.560000000001</v>
      </c>
      <c r="J84">
        <v>-3983.06</v>
      </c>
      <c r="K84">
        <v>-102477.54</v>
      </c>
    </row>
    <row r="85" spans="1:11" s="1" customFormat="1" x14ac:dyDescent="0.3">
      <c r="A85" s="6" t="s">
        <v>35</v>
      </c>
      <c r="B85">
        <v>2542.46</v>
      </c>
      <c r="C85">
        <v>10242.24</v>
      </c>
      <c r="D85">
        <v>73750.44</v>
      </c>
      <c r="E85">
        <v>-41243.910000000003</v>
      </c>
      <c r="F85">
        <v>6122.47</v>
      </c>
      <c r="G85">
        <v>33332.400000000001</v>
      </c>
      <c r="H85">
        <v>34113.22</v>
      </c>
      <c r="I85">
        <v>41762.080000000002</v>
      </c>
      <c r="J85">
        <v>31686.7</v>
      </c>
      <c r="K85">
        <v>21113.39</v>
      </c>
    </row>
    <row r="86" spans="1:11" x14ac:dyDescent="0.3">
      <c r="A86" s="6"/>
    </row>
    <row r="87" spans="1:11" x14ac:dyDescent="0.3">
      <c r="A87" s="6"/>
    </row>
    <row r="88" spans="1:11" x14ac:dyDescent="0.3">
      <c r="A88" s="6"/>
    </row>
    <row r="89" spans="1:11" x14ac:dyDescent="0.3">
      <c r="A89" s="6"/>
    </row>
    <row r="90" spans="1:11" s="1" customFormat="1" x14ac:dyDescent="0.3">
      <c r="A90" s="1" t="s">
        <v>77</v>
      </c>
      <c r="B90">
        <v>267.79000000000002</v>
      </c>
      <c r="C90">
        <v>360.64</v>
      </c>
      <c r="D90">
        <v>471.53</v>
      </c>
      <c r="E90">
        <v>579.73</v>
      </c>
      <c r="F90">
        <v>430.95</v>
      </c>
      <c r="G90">
        <v>746.83</v>
      </c>
      <c r="H90">
        <v>735.18</v>
      </c>
      <c r="I90">
        <v>804.78</v>
      </c>
      <c r="J90">
        <v>723.95</v>
      </c>
      <c r="K90">
        <v>914.1</v>
      </c>
    </row>
    <row r="92" spans="1:11" s="1" customFormat="1" x14ac:dyDescent="0.3">
      <c r="A92" s="1" t="s">
        <v>76</v>
      </c>
    </row>
    <row r="93" spans="1:11" x14ac:dyDescent="0.3">
      <c r="A93" s="4" t="s">
        <v>89</v>
      </c>
      <c r="B93" s="24">
        <v>1011.28</v>
      </c>
      <c r="C93" s="24">
        <v>1025.02</v>
      </c>
      <c r="D93" s="24">
        <v>1038.04</v>
      </c>
      <c r="E93" s="24">
        <v>1089.32</v>
      </c>
      <c r="F93" s="24">
        <v>1096.6600000000001</v>
      </c>
      <c r="G93" s="24">
        <v>1102.56</v>
      </c>
      <c r="H93" s="24">
        <v>1109.1099999999999</v>
      </c>
      <c r="I93" s="24">
        <v>1115.95</v>
      </c>
      <c r="J93" s="24">
        <v>1519.38</v>
      </c>
      <c r="K93" s="24">
        <v>1530.44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Profit &amp; Loss</vt:lpstr>
      <vt:lpstr>Quarters</vt:lpstr>
      <vt:lpstr>Balance Sheet</vt:lpstr>
      <vt:lpstr>Cash Flow</vt:lpstr>
      <vt:lpstr>Customization</vt:lpstr>
      <vt:lpstr>3-Statement Model</vt:lpstr>
      <vt:lpstr>Ratio Analysis</vt:lpstr>
      <vt:lpstr>Comparable Company Analysis</vt:lpstr>
      <vt:lpstr>P&amp;L Raw Data</vt:lpstr>
      <vt:lpstr>Balance Sheet Raw Data</vt:lpstr>
      <vt:lpstr>Cash Flow Raw Data</vt:lpstr>
      <vt:lpstr>Assumptions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Shipra Ghoshal</dc:creator>
  <cp:lastModifiedBy>Shipra Ghoshal</cp:lastModifiedBy>
  <cp:lastPrinted>2025-12-18T21:36:54Z</cp:lastPrinted>
  <dcterms:created xsi:type="dcterms:W3CDTF">2012-08-17T09:55:37Z</dcterms:created>
  <dcterms:modified xsi:type="dcterms:W3CDTF">2026-02-19T20:24:01Z</dcterms:modified>
</cp:coreProperties>
</file>