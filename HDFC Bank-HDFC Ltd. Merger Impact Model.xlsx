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pra\OneDrive\Documents\"/>
    </mc:Choice>
  </mc:AlternateContent>
  <xr:revisionPtr revIDLastSave="0" documentId="13_ncr:1_{1C60E883-A4C7-40F1-B7F1-7A964A6E7F01}" xr6:coauthVersionLast="47" xr6:coauthVersionMax="47" xr10:uidLastSave="{00000000-0000-0000-0000-000000000000}"/>
  <bookViews>
    <workbookView xWindow="-108" yWindow="-108" windowWidth="23256" windowHeight="12456" firstSheet="4" activeTab="7" xr2:uid="{2DC5913B-2E3D-436A-993A-3FD224A5473C}"/>
  </bookViews>
  <sheets>
    <sheet name="Assumptions" sheetId="1" r:id="rId1"/>
    <sheet name="Financials Raw Data" sheetId="7" r:id="rId2"/>
    <sheet name="Standalone FS-HDFC Ltd." sheetId="3" r:id="rId3"/>
    <sheet name="Standalone FS-HDFC Bank" sheetId="2" r:id="rId4"/>
    <sheet name="Pro Forma Combined Financials" sheetId="5" r:id="rId5"/>
    <sheet name="Post-Merger Actual" sheetId="8" r:id="rId6"/>
    <sheet name="Synergy Estimates" sheetId="4" r:id="rId7"/>
    <sheet name="Merger Impact Analysis" sheetId="6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4" l="1"/>
  <c r="C42" i="4"/>
  <c r="D41" i="4"/>
  <c r="D27" i="4"/>
  <c r="J51" i="7" l="1" a="1"/>
  <c r="J51" i="7" s="1"/>
  <c r="F49" i="8" s="1"/>
  <c r="J52" i="7"/>
  <c r="F50" i="8" s="1"/>
  <c r="J53" i="7"/>
  <c r="F51" i="8" s="1"/>
  <c r="J55" i="7" a="1"/>
  <c r="J55" i="7" s="1"/>
  <c r="F53" i="8" s="1"/>
  <c r="I55" i="7" a="1"/>
  <c r="I55" i="7" s="1"/>
  <c r="E53" i="8" s="1"/>
  <c r="I53" i="7"/>
  <c r="E51" i="8" s="1"/>
  <c r="I52" i="7"/>
  <c r="E50" i="8" s="1"/>
  <c r="I51" i="7" a="1"/>
  <c r="I51" i="7" s="1"/>
  <c r="E49" i="8" s="1"/>
  <c r="E48" i="2"/>
  <c r="E47" i="2"/>
  <c r="E49" i="2" a="1"/>
  <c r="E49" i="2" s="1"/>
  <c r="D49" i="2" a="1"/>
  <c r="D49" i="2" s="1"/>
  <c r="D48" i="2"/>
  <c r="D47" i="2"/>
  <c r="E46" i="2" a="1"/>
  <c r="E46" i="2" s="1"/>
  <c r="D46" i="2" a="1"/>
  <c r="D46" i="2" s="1"/>
  <c r="D61" i="5"/>
  <c r="D62" i="5"/>
  <c r="C1" i="8"/>
  <c r="C2" i="5"/>
  <c r="E43" i="3"/>
  <c r="D43" i="3"/>
  <c r="D34" i="2"/>
  <c r="G51" i="8" l="1"/>
  <c r="G52" i="8" s="1"/>
  <c r="H50" i="8"/>
  <c r="G50" i="8"/>
  <c r="I50" i="8"/>
  <c r="H53" i="8"/>
  <c r="I53" i="8"/>
  <c r="G53" i="8"/>
  <c r="H49" i="8"/>
  <c r="G49" i="8"/>
  <c r="G54" i="8" s="1"/>
  <c r="I49" i="8"/>
  <c r="E54" i="8"/>
  <c r="F52" i="8"/>
  <c r="E50" i="2"/>
  <c r="D50" i="2"/>
  <c r="F54" i="8"/>
  <c r="D3" i="5"/>
  <c r="D2" i="8" s="1"/>
  <c r="D5" i="6" s="1"/>
  <c r="D13" i="6" s="1"/>
  <c r="F45" i="8"/>
  <c r="E45" i="8"/>
  <c r="F43" i="8"/>
  <c r="E43" i="8"/>
  <c r="F41" i="8"/>
  <c r="F57" i="8" s="1"/>
  <c r="E41" i="8"/>
  <c r="F39" i="8"/>
  <c r="E39" i="8"/>
  <c r="F38" i="8"/>
  <c r="E38" i="8"/>
  <c r="F31" i="8"/>
  <c r="G31" i="8" s="1"/>
  <c r="H31" i="8" s="1"/>
  <c r="I31" i="8" s="1"/>
  <c r="E31" i="8"/>
  <c r="F30" i="8"/>
  <c r="G30" i="8" s="1"/>
  <c r="H30" i="8" s="1"/>
  <c r="I30" i="8" s="1"/>
  <c r="E30" i="8"/>
  <c r="F26" i="8"/>
  <c r="E26" i="8"/>
  <c r="F25" i="8"/>
  <c r="E25" i="8"/>
  <c r="F23" i="8"/>
  <c r="E23" i="8"/>
  <c r="F19" i="8"/>
  <c r="E19" i="8"/>
  <c r="F17" i="8"/>
  <c r="E17" i="8"/>
  <c r="F16" i="8"/>
  <c r="E16" i="8"/>
  <c r="E20" i="8" s="1"/>
  <c r="F11" i="8"/>
  <c r="E11" i="8"/>
  <c r="F7" i="8"/>
  <c r="E7" i="8"/>
  <c r="F6" i="8"/>
  <c r="E6" i="8"/>
  <c r="F2" i="8"/>
  <c r="E2" i="8"/>
  <c r="E5" i="6" s="1"/>
  <c r="C2" i="2"/>
  <c r="C2" i="3"/>
  <c r="D50" i="3"/>
  <c r="E50" i="3"/>
  <c r="D52" i="5" s="1"/>
  <c r="E47" i="3"/>
  <c r="D48" i="5" s="1"/>
  <c r="D47" i="3"/>
  <c r="E48" i="3"/>
  <c r="D49" i="5" s="1"/>
  <c r="D48" i="3"/>
  <c r="E49" i="3"/>
  <c r="D50" i="5" s="1"/>
  <c r="D51" i="5" s="1"/>
  <c r="D49" i="3"/>
  <c r="E35" i="3"/>
  <c r="E36" i="3"/>
  <c r="D36" i="3"/>
  <c r="E40" i="3"/>
  <c r="D40" i="3"/>
  <c r="E38" i="3"/>
  <c r="D38" i="3"/>
  <c r="D35" i="3"/>
  <c r="E29" i="3"/>
  <c r="E30" i="3"/>
  <c r="D30" i="3"/>
  <c r="D29" i="3"/>
  <c r="E8" i="3"/>
  <c r="E21" i="3"/>
  <c r="D21" i="3"/>
  <c r="E17" i="3"/>
  <c r="D17" i="3"/>
  <c r="E16" i="3"/>
  <c r="D16" i="3"/>
  <c r="E15" i="3"/>
  <c r="D15" i="3"/>
  <c r="E10" i="3"/>
  <c r="D10" i="3"/>
  <c r="D8" i="3"/>
  <c r="E7" i="3"/>
  <c r="D7" i="3"/>
  <c r="G3" i="3"/>
  <c r="I3" i="3" s="1"/>
  <c r="J3" i="3" s="1"/>
  <c r="K3" i="3" s="1"/>
  <c r="L3" i="3" s="1"/>
  <c r="M3" i="3" s="1"/>
  <c r="F3" i="3"/>
  <c r="E3" i="3"/>
  <c r="D3" i="3"/>
  <c r="E37" i="2"/>
  <c r="E54" i="2" s="1"/>
  <c r="E39" i="2"/>
  <c r="E42" i="2"/>
  <c r="D39" i="2"/>
  <c r="D42" i="2"/>
  <c r="D37" i="2"/>
  <c r="D54" i="2" s="1"/>
  <c r="E35" i="2"/>
  <c r="D35" i="2"/>
  <c r="E34" i="2"/>
  <c r="E28" i="2"/>
  <c r="D28" i="2"/>
  <c r="E27" i="2"/>
  <c r="D27" i="2"/>
  <c r="E21" i="2"/>
  <c r="E22" i="2"/>
  <c r="D23" i="5" s="1"/>
  <c r="D25" i="8" s="1"/>
  <c r="E23" i="2"/>
  <c r="D24" i="5" s="1"/>
  <c r="D26" i="8" s="1"/>
  <c r="D22" i="2"/>
  <c r="D23" i="2"/>
  <c r="D21" i="2"/>
  <c r="E15" i="2"/>
  <c r="E16" i="2"/>
  <c r="E17" i="2"/>
  <c r="D16" i="2"/>
  <c r="D17" i="2"/>
  <c r="D15" i="2"/>
  <c r="E10" i="2"/>
  <c r="D10" i="2"/>
  <c r="E8" i="2"/>
  <c r="D8" i="2"/>
  <c r="E7" i="2"/>
  <c r="D7" i="2"/>
  <c r="E3" i="2"/>
  <c r="D3" i="2"/>
  <c r="D53" i="5" l="1"/>
  <c r="D54" i="5" s="1"/>
  <c r="F20" i="8"/>
  <c r="F40" i="8"/>
  <c r="C29" i="4"/>
  <c r="C21" i="4" s="1"/>
  <c r="F5" i="6"/>
  <c r="G55" i="8"/>
  <c r="F8" i="8"/>
  <c r="F58" i="8" s="1"/>
  <c r="F13" i="8"/>
  <c r="H51" i="8"/>
  <c r="D29" i="4"/>
  <c r="E29" i="4" s="1"/>
  <c r="H11" i="8"/>
  <c r="I11" i="8"/>
  <c r="G11" i="8"/>
  <c r="I26" i="8"/>
  <c r="G26" i="8"/>
  <c r="H26" i="8"/>
  <c r="H43" i="8"/>
  <c r="D23" i="4" s="1"/>
  <c r="E23" i="4" s="1"/>
  <c r="G43" i="8"/>
  <c r="I43" i="8"/>
  <c r="H16" i="8"/>
  <c r="I16" i="8"/>
  <c r="G16" i="8"/>
  <c r="H45" i="8"/>
  <c r="I45" i="8"/>
  <c r="G45" i="8"/>
  <c r="I23" i="8"/>
  <c r="G23" i="8"/>
  <c r="H23" i="8"/>
  <c r="G39" i="8"/>
  <c r="H39" i="8"/>
  <c r="I39" i="8"/>
  <c r="G7" i="8"/>
  <c r="H7" i="8"/>
  <c r="I7" i="8"/>
  <c r="G25" i="8"/>
  <c r="H25" i="8"/>
  <c r="I25" i="8"/>
  <c r="H41" i="8"/>
  <c r="G41" i="8"/>
  <c r="G42" i="8" s="1"/>
  <c r="I41" i="8"/>
  <c r="H19" i="8"/>
  <c r="G19" i="8"/>
  <c r="I19" i="8"/>
  <c r="E40" i="8"/>
  <c r="H38" i="8"/>
  <c r="H40" i="8" s="1"/>
  <c r="G38" i="8"/>
  <c r="I38" i="8"/>
  <c r="I40" i="8" s="1"/>
  <c r="H6" i="8"/>
  <c r="G6" i="8"/>
  <c r="I6" i="8"/>
  <c r="H17" i="8"/>
  <c r="D31" i="4" s="1"/>
  <c r="E31" i="4" s="1"/>
  <c r="I17" i="8"/>
  <c r="D32" i="4" s="1"/>
  <c r="E32" i="4" s="1"/>
  <c r="G17" i="8"/>
  <c r="D30" i="4" s="1"/>
  <c r="E30" i="4" s="1"/>
  <c r="G2" i="8"/>
  <c r="C5" i="1"/>
  <c r="D5" i="1"/>
  <c r="F44" i="8"/>
  <c r="D7" i="5"/>
  <c r="D6" i="8" s="1"/>
  <c r="E33" i="8"/>
  <c r="E7" i="6" s="1"/>
  <c r="F42" i="8"/>
  <c r="E57" i="8"/>
  <c r="G7" i="5"/>
  <c r="G6" i="5"/>
  <c r="D28" i="5"/>
  <c r="D30" i="8" s="1"/>
  <c r="D29" i="5"/>
  <c r="D31" i="8" s="1"/>
  <c r="E55" i="3"/>
  <c r="D55" i="3"/>
  <c r="G5" i="5"/>
  <c r="D42" i="3"/>
  <c r="D53" i="3" s="1"/>
  <c r="E39" i="3"/>
  <c r="E42" i="3"/>
  <c r="E54" i="3" s="1"/>
  <c r="E53" i="3"/>
  <c r="E41" i="3"/>
  <c r="F33" i="8"/>
  <c r="F7" i="6" s="1"/>
  <c r="G8" i="5"/>
  <c r="E40" i="2"/>
  <c r="E41" i="2"/>
  <c r="E53" i="2" s="1"/>
  <c r="E38" i="2"/>
  <c r="D41" i="2"/>
  <c r="D52" i="2" s="1"/>
  <c r="E9" i="3"/>
  <c r="D16" i="5"/>
  <c r="D16" i="8" s="1"/>
  <c r="D53" i="8"/>
  <c r="D11" i="5"/>
  <c r="D11" i="8" s="1"/>
  <c r="D50" i="8"/>
  <c r="D49" i="8"/>
  <c r="D17" i="5"/>
  <c r="D17" i="8" s="1"/>
  <c r="D39" i="5"/>
  <c r="D18" i="5"/>
  <c r="D19" i="8" s="1"/>
  <c r="D41" i="5"/>
  <c r="D37" i="5"/>
  <c r="D39" i="8" s="1"/>
  <c r="D44" i="5"/>
  <c r="D45" i="8" s="1"/>
  <c r="D8" i="5"/>
  <c r="D7" i="8" s="1"/>
  <c r="D36" i="5"/>
  <c r="D24" i="3"/>
  <c r="E24" i="3"/>
  <c r="D22" i="5"/>
  <c r="E27" i="8"/>
  <c r="F27" i="8"/>
  <c r="E8" i="8"/>
  <c r="E12" i="8" s="1"/>
  <c r="E32" i="8"/>
  <c r="F32" i="8"/>
  <c r="E51" i="3"/>
  <c r="D51" i="3"/>
  <c r="D37" i="3"/>
  <c r="D44" i="3" s="1"/>
  <c r="D18" i="3"/>
  <c r="D9" i="3"/>
  <c r="D11" i="3" s="1"/>
  <c r="D12" i="3"/>
  <c r="E18" i="3"/>
  <c r="E37" i="3"/>
  <c r="E44" i="3" s="1"/>
  <c r="D29" i="2"/>
  <c r="E29" i="2"/>
  <c r="E30" i="2"/>
  <c r="D30" i="2"/>
  <c r="E36" i="2"/>
  <c r="E43" i="2" s="1"/>
  <c r="D36" i="2"/>
  <c r="D43" i="2" s="1"/>
  <c r="D9" i="2"/>
  <c r="D11" i="2" s="1"/>
  <c r="E24" i="2"/>
  <c r="E18" i="2"/>
  <c r="E9" i="2"/>
  <c r="E11" i="2" s="1"/>
  <c r="D24" i="2"/>
  <c r="D18" i="2"/>
  <c r="E12" i="3" l="1"/>
  <c r="E11" i="3"/>
  <c r="D12" i="5" s="1"/>
  <c r="H2" i="8"/>
  <c r="G5" i="6"/>
  <c r="D20" i="8"/>
  <c r="G57" i="8"/>
  <c r="G40" i="8"/>
  <c r="I51" i="8"/>
  <c r="E17" i="6" s="1"/>
  <c r="H57" i="8"/>
  <c r="H52" i="8"/>
  <c r="D60" i="8"/>
  <c r="D38" i="4"/>
  <c r="F46" i="8"/>
  <c r="G44" i="8"/>
  <c r="D22" i="4"/>
  <c r="E22" i="4" s="1"/>
  <c r="D37" i="4" s="1"/>
  <c r="I42" i="8"/>
  <c r="E13" i="8"/>
  <c r="I44" i="8"/>
  <c r="D24" i="4"/>
  <c r="E24" i="4" s="1"/>
  <c r="D39" i="4" s="1"/>
  <c r="H54" i="8"/>
  <c r="H55" i="8" s="1"/>
  <c r="E39" i="4"/>
  <c r="F39" i="4" s="1"/>
  <c r="D45" i="4" s="1"/>
  <c r="E45" i="4" s="1"/>
  <c r="I24" i="8" s="1"/>
  <c r="I27" i="8" s="1"/>
  <c r="I18" i="8"/>
  <c r="E38" i="4"/>
  <c r="F38" i="4" s="1"/>
  <c r="D44" i="4" s="1"/>
  <c r="E44" i="4" s="1"/>
  <c r="H24" i="8" s="1"/>
  <c r="H27" i="8" s="1"/>
  <c r="H18" i="8"/>
  <c r="E37" i="4"/>
  <c r="G18" i="8"/>
  <c r="I20" i="8"/>
  <c r="G20" i="8"/>
  <c r="H20" i="8"/>
  <c r="F12" i="8"/>
  <c r="I8" i="8"/>
  <c r="G8" i="8"/>
  <c r="H8" i="8"/>
  <c r="H9" i="8" s="1"/>
  <c r="H58" i="8" s="1"/>
  <c r="H42" i="8"/>
  <c r="H44" i="8"/>
  <c r="E5" i="1"/>
  <c r="C9" i="4"/>
  <c r="C22" i="4" s="1"/>
  <c r="C30" i="4" s="1"/>
  <c r="C37" i="4" s="1"/>
  <c r="C43" i="4" s="1"/>
  <c r="D31" i="5"/>
  <c r="D53" i="2"/>
  <c r="E52" i="2"/>
  <c r="D33" i="8"/>
  <c r="D7" i="6" s="1"/>
  <c r="D14" i="6" s="1"/>
  <c r="D30" i="5"/>
  <c r="D32" i="8" s="1"/>
  <c r="D54" i="3"/>
  <c r="F10" i="8"/>
  <c r="D38" i="5"/>
  <c r="D40" i="8" s="1"/>
  <c r="D38" i="8"/>
  <c r="H7" i="5"/>
  <c r="I7" i="5" s="1"/>
  <c r="D43" i="8"/>
  <c r="E44" i="8" s="1"/>
  <c r="D42" i="5"/>
  <c r="E58" i="8"/>
  <c r="H6" i="5"/>
  <c r="I6" i="5" s="1"/>
  <c r="D40" i="5"/>
  <c r="D41" i="8"/>
  <c r="D25" i="5"/>
  <c r="D27" i="8" s="1"/>
  <c r="D23" i="8"/>
  <c r="D51" i="8"/>
  <c r="H5" i="5"/>
  <c r="I5" i="5" s="1"/>
  <c r="D59" i="5"/>
  <c r="H8" i="5" s="1"/>
  <c r="I8" i="5" s="1"/>
  <c r="D19" i="5"/>
  <c r="D43" i="5"/>
  <c r="D57" i="5" s="1"/>
  <c r="D9" i="5"/>
  <c r="D12" i="2"/>
  <c r="E12" i="2"/>
  <c r="E52" i="8" l="1"/>
  <c r="D17" i="6"/>
  <c r="F17" i="6" s="1"/>
  <c r="H13" i="8"/>
  <c r="I2" i="8"/>
  <c r="I5" i="6" s="1"/>
  <c r="E13" i="6" s="1"/>
  <c r="H5" i="6"/>
  <c r="I12" i="8"/>
  <c r="I9" i="8"/>
  <c r="I58" i="8" s="1"/>
  <c r="E15" i="6" s="1"/>
  <c r="I57" i="8"/>
  <c r="E16" i="6" s="1"/>
  <c r="I52" i="8"/>
  <c r="I54" i="8"/>
  <c r="I55" i="8" s="1"/>
  <c r="F37" i="4"/>
  <c r="D43" i="4" s="1"/>
  <c r="E43" i="4" s="1"/>
  <c r="G24" i="8" s="1"/>
  <c r="G32" i="8" s="1"/>
  <c r="G12" i="8"/>
  <c r="G9" i="8"/>
  <c r="G58" i="8" s="1"/>
  <c r="I13" i="8"/>
  <c r="G13" i="8"/>
  <c r="H33" i="8"/>
  <c r="H7" i="6" s="1"/>
  <c r="H32" i="8"/>
  <c r="I33" i="8"/>
  <c r="I7" i="6" s="1"/>
  <c r="I32" i="8"/>
  <c r="H10" i="8"/>
  <c r="H12" i="8"/>
  <c r="G10" i="8"/>
  <c r="I10" i="8"/>
  <c r="F5" i="1"/>
  <c r="C10" i="4"/>
  <c r="C23" i="4" s="1"/>
  <c r="C31" i="4" s="1"/>
  <c r="C38" i="4" s="1"/>
  <c r="C44" i="4" s="1"/>
  <c r="E42" i="8"/>
  <c r="E46" i="8" s="1"/>
  <c r="D54" i="8"/>
  <c r="D45" i="5"/>
  <c r="D46" i="8" s="1"/>
  <c r="D57" i="8"/>
  <c r="D16" i="6" s="1"/>
  <c r="D8" i="8"/>
  <c r="D12" i="8" s="1"/>
  <c r="D10" i="5"/>
  <c r="D10" i="8" s="1"/>
  <c r="D13" i="5"/>
  <c r="D13" i="8" s="1"/>
  <c r="D58" i="5"/>
  <c r="E14" i="6" l="1"/>
  <c r="D9" i="6"/>
  <c r="F14" i="6" s="1"/>
  <c r="G27" i="8"/>
  <c r="G33" i="8"/>
  <c r="G7" i="6" s="1"/>
  <c r="C11" i="4"/>
  <c r="C24" i="4" s="1"/>
  <c r="C32" i="4" s="1"/>
  <c r="C39" i="4" s="1"/>
  <c r="C45" i="4" s="1"/>
  <c r="D58" i="8"/>
  <c r="D15" i="6" s="1"/>
  <c r="E10" i="8"/>
  <c r="E55" i="8" l="1"/>
  <c r="F5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<sst xmlns="http://schemas.openxmlformats.org/spreadsheetml/2006/main" count="558" uniqueCount="347">
  <si>
    <t>CAPITAL AND LIABILITIES</t>
  </si>
  <si>
    <t>Capital</t>
  </si>
  <si>
    <t xml:space="preserve">Employees stock options outstanding  </t>
  </si>
  <si>
    <t xml:space="preserve">Reserves and surplus </t>
  </si>
  <si>
    <t xml:space="preserve">Deposits </t>
  </si>
  <si>
    <t xml:space="preserve">Borrowings </t>
  </si>
  <si>
    <t xml:space="preserve">Other liabilities and provisions  </t>
  </si>
  <si>
    <t xml:space="preserve">Total  </t>
  </si>
  <si>
    <t>ASSETS</t>
  </si>
  <si>
    <t xml:space="preserve">Cash and balances with Reserve Bank of India </t>
  </si>
  <si>
    <t xml:space="preserve">Balances with banks and money at call and short notice  </t>
  </si>
  <si>
    <t xml:space="preserve">Investments  </t>
  </si>
  <si>
    <t>Advances</t>
  </si>
  <si>
    <t xml:space="preserve">Fixed assets  </t>
  </si>
  <si>
    <t xml:space="preserve">Other assets </t>
  </si>
  <si>
    <t xml:space="preserve">Total </t>
  </si>
  <si>
    <t>Contingent liabilities</t>
  </si>
  <si>
    <t>Bills for collection</t>
  </si>
  <si>
    <t>Balane Sheet</t>
  </si>
  <si>
    <t>I. INCOME</t>
  </si>
  <si>
    <t xml:space="preserve">Interest earned   </t>
  </si>
  <si>
    <t>Other income</t>
  </si>
  <si>
    <t>Total</t>
  </si>
  <si>
    <t>II. EXPENDITURE</t>
  </si>
  <si>
    <t xml:space="preserve">Interest expended </t>
  </si>
  <si>
    <t xml:space="preserve">Operating expenses </t>
  </si>
  <si>
    <t xml:space="preserve">Provisions and contingencies  </t>
  </si>
  <si>
    <t>III. PROFIT</t>
  </si>
  <si>
    <t xml:space="preserve">Net profit for the year </t>
  </si>
  <si>
    <t xml:space="preserve">Balance in the Profit and Loss account brought forward </t>
  </si>
  <si>
    <t xml:space="preserve">Additions on Amalgamation (net) </t>
  </si>
  <si>
    <t>-</t>
  </si>
  <si>
    <t>IV. APPROPRIATIONS</t>
  </si>
  <si>
    <t xml:space="preserve">Transfer to Statutory Reserve  </t>
  </si>
  <si>
    <t xml:space="preserve">Transfer to General Reserve </t>
  </si>
  <si>
    <t xml:space="preserve">Transfer to Special Reserve </t>
  </si>
  <si>
    <t xml:space="preserve">Transfer to Capital Reserve </t>
  </si>
  <si>
    <t>Transfer to / (from) Investment Reserve Account (net)</t>
  </si>
  <si>
    <t>Transfer to / (from) Investment Fluctuation Reserve</t>
  </si>
  <si>
    <t xml:space="preserve">Dividend pertaining to previous year paid during the year  </t>
  </si>
  <si>
    <t xml:space="preserve">Balance carried over to Balance Sheet </t>
  </si>
  <si>
    <t>V. EARNINGS PER EQUITY SHARE (Face value ` 1/- per share) 18 (31) ` `</t>
  </si>
  <si>
    <t xml:space="preserve">Basic  </t>
  </si>
  <si>
    <t xml:space="preserve">Diluted  </t>
  </si>
  <si>
    <t>Profit and Loss Statement</t>
  </si>
  <si>
    <t>Cash flows from operating activities:</t>
  </si>
  <si>
    <t>Profit before income tax</t>
  </si>
  <si>
    <t>Adjustments for:</t>
  </si>
  <si>
    <t xml:space="preserve">Depreciation on fixed assets  </t>
  </si>
  <si>
    <t xml:space="preserve">(Profit) / loss on revaluation of investments  </t>
  </si>
  <si>
    <t xml:space="preserve">Amortisation of premium / (discount) on investments  </t>
  </si>
  <si>
    <t xml:space="preserve">Profit/ (loss) on sale of fixed assets </t>
  </si>
  <si>
    <t xml:space="preserve">(Profit) / loss on sale of investment in subsidiary </t>
  </si>
  <si>
    <t xml:space="preserve">Provision / charge for non performing assets  </t>
  </si>
  <si>
    <t xml:space="preserve">Floating provisions </t>
  </si>
  <si>
    <t xml:space="preserve">Provision / (write-back) for standard assets and contingencies  </t>
  </si>
  <si>
    <t xml:space="preserve">Dividend from subsidiaries </t>
  </si>
  <si>
    <t xml:space="preserve">Employee stock options / units expense  </t>
  </si>
  <si>
    <t xml:space="preserve">Increase in investments  </t>
  </si>
  <si>
    <t xml:space="preserve">Increase in advances  </t>
  </si>
  <si>
    <t xml:space="preserve">Increase in deposits </t>
  </si>
  <si>
    <t xml:space="preserve">Increase in other assets  </t>
  </si>
  <si>
    <t xml:space="preserve">Increase / (decrease) in other liabilities and provisions </t>
  </si>
  <si>
    <t xml:space="preserve">Direct taxes paid (net of refunds) </t>
  </si>
  <si>
    <t xml:space="preserve">Net cash flows from operating activities  </t>
  </si>
  <si>
    <t>Cash flows from investing activities:</t>
  </si>
  <si>
    <t xml:space="preserve">Purchase of fixed assets </t>
  </si>
  <si>
    <t xml:space="preserve">Proceeds from sale of fixed assets </t>
  </si>
  <si>
    <t>Investment in subsidiaries</t>
  </si>
  <si>
    <t xml:space="preserve">Proceeds from sale of investment in subsidiary (net) </t>
  </si>
  <si>
    <t>Dividend from subsidiaries</t>
  </si>
  <si>
    <t>Net cash flow (used in) / from investing activities</t>
  </si>
  <si>
    <t>Cash flows from financing activities:</t>
  </si>
  <si>
    <t xml:space="preserve">Proceeds from exercise of convertible equity warrants </t>
  </si>
  <si>
    <t xml:space="preserve">Proceeds from issue of share capital other than warrants </t>
  </si>
  <si>
    <t xml:space="preserve">Proceeds from issue of share capital, net of issue expenses </t>
  </si>
  <si>
    <t xml:space="preserve">Proceeds from issue of Tier 1 and Tier 2 capital bonds </t>
  </si>
  <si>
    <t>Redemption of Tier 1 and Tier 2 capital bonds</t>
  </si>
  <si>
    <t xml:space="preserve">Increase/ (Decrease) in other borrowings </t>
  </si>
  <si>
    <t xml:space="preserve">Dividend paid during the year </t>
  </si>
  <si>
    <t>Net cash flow used in financing activities</t>
  </si>
  <si>
    <t>Effect of fluctuation in foreign currency translation reserve</t>
  </si>
  <si>
    <t>Net increase in cash and cash equivalents</t>
  </si>
  <si>
    <t xml:space="preserve">Cash and cash equivalents at the beginning of the year </t>
  </si>
  <si>
    <t xml:space="preserve">Cash and cash equivalents acquired on amalgamation </t>
  </si>
  <si>
    <t xml:space="preserve">Cash and cash equivalents at the end of the year </t>
  </si>
  <si>
    <t>Cash Flow Statement</t>
  </si>
  <si>
    <t>Years</t>
  </si>
  <si>
    <t>#</t>
  </si>
  <si>
    <t>Income Statement</t>
  </si>
  <si>
    <r>
      <t xml:space="preserve"> less: Interest expended</t>
    </r>
    <r>
      <rPr>
        <i/>
        <vertAlign val="superscript"/>
        <sz val="11"/>
        <color theme="1" tint="0.499984740745262"/>
        <rFont val="Calibri"/>
        <family val="2"/>
        <scheme val="minor"/>
      </rPr>
      <t>1</t>
    </r>
  </si>
  <si>
    <r>
      <t>Net Interest Income(NII)</t>
    </r>
    <r>
      <rPr>
        <i/>
        <vertAlign val="superscript"/>
        <sz val="11"/>
        <color theme="1" tint="0.499984740745262"/>
        <rFont val="Calibri"/>
        <family val="2"/>
        <scheme val="minor"/>
      </rPr>
      <t>2</t>
    </r>
  </si>
  <si>
    <r>
      <t>Add: Other income</t>
    </r>
    <r>
      <rPr>
        <vertAlign val="superscript"/>
        <sz val="11"/>
        <color theme="1"/>
        <rFont val="Calibri"/>
        <family val="2"/>
        <scheme val="minor"/>
      </rPr>
      <t>3</t>
    </r>
  </si>
  <si>
    <r>
      <t>Operating Income</t>
    </r>
    <r>
      <rPr>
        <b/>
        <i/>
        <vertAlign val="superscript"/>
        <sz val="11"/>
        <color theme="1" tint="0.499984740745262"/>
        <rFont val="Calibri"/>
        <family val="2"/>
        <scheme val="minor"/>
      </rPr>
      <t>4</t>
    </r>
  </si>
  <si>
    <t>IV. EARNINGS PER EQUITY SHARE</t>
  </si>
  <si>
    <t>Weighted average number of equity shares(Basic EPS)</t>
  </si>
  <si>
    <t>Weighted average number of equity shares(Diluted EPS)</t>
  </si>
  <si>
    <t>Weighted Average Number of Equity Shares</t>
  </si>
  <si>
    <t>Weighted average number of equity shares used in computing basic earnings per equity share</t>
  </si>
  <si>
    <t xml:space="preserve">Effect of potential equity shares outstanding </t>
  </si>
  <si>
    <t>Weighted average number of equity shares used in computing diluted earnings per equity share</t>
  </si>
  <si>
    <t>Balance Sheet</t>
  </si>
  <si>
    <t>Shareholer's Fund</t>
  </si>
  <si>
    <t>Total  Liabilities</t>
  </si>
  <si>
    <t>Total Assets</t>
  </si>
  <si>
    <t xml:space="preserve">HDFC BANK </t>
  </si>
  <si>
    <t>HDFC Ltd.</t>
  </si>
  <si>
    <t>March 31, 2023</t>
  </si>
  <si>
    <t>March 31, 2022</t>
  </si>
  <si>
    <t>(I) Revenue from operations</t>
  </si>
  <si>
    <t>(IV) Expenses</t>
  </si>
  <si>
    <t>(VI) Tax expense</t>
  </si>
  <si>
    <t>(i) Interest income</t>
  </si>
  <si>
    <t>(ii) Surplus on deployment in liquid instruments</t>
  </si>
  <si>
    <t xml:space="preserve">(iii) Dividend income </t>
  </si>
  <si>
    <t xml:space="preserve">(iv) Rental income </t>
  </si>
  <si>
    <t xml:space="preserve">(v) Fees and commission income </t>
  </si>
  <si>
    <t xml:space="preserve">(vi) Net gain on fair value changes </t>
  </si>
  <si>
    <t xml:space="preserve">(vii) Profit on sale of investments and investment properties (net)  </t>
  </si>
  <si>
    <t xml:space="preserve">(viii) Income on derecognised (assigned) loans  </t>
  </si>
  <si>
    <t xml:space="preserve">Total Revenue from operations </t>
  </si>
  <si>
    <t>(II) Other income</t>
  </si>
  <si>
    <t xml:space="preserve">(III) Total Income (I + II) </t>
  </si>
  <si>
    <t xml:space="preserve">(i) Finance cost </t>
  </si>
  <si>
    <t xml:space="preserve">(ii) Impairment on financial instruments (Expected Credit Loss) </t>
  </si>
  <si>
    <t xml:space="preserve">(iii) Employee benefit expenses </t>
  </si>
  <si>
    <t xml:space="preserve">(iv) Depreciation, amortisation and impairment </t>
  </si>
  <si>
    <t>(v) Other expenses</t>
  </si>
  <si>
    <t xml:space="preserve">Total Expenses (IV) </t>
  </si>
  <si>
    <t xml:space="preserve">(V) Profit Before Tax (III - IV) </t>
  </si>
  <si>
    <t xml:space="preserve"> Current tax </t>
  </si>
  <si>
    <t xml:space="preserve"> Deferred tax</t>
  </si>
  <si>
    <t xml:space="preserve">Total Tax Expense </t>
  </si>
  <si>
    <t xml:space="preserve">(VII) Net Profit After Tax (V - VI) </t>
  </si>
  <si>
    <t>(VIII) Other comprehensive income</t>
  </si>
  <si>
    <t>(A) (i) Items that will not be reclassified to profit / (loss)</t>
  </si>
  <si>
    <t>(ii) Income tax relating to items that will not be reclassified to profit / (loss)</t>
  </si>
  <si>
    <t>Subtotal (A)</t>
  </si>
  <si>
    <t>(B) (i) Items that will be reclassified to profit / (loss)</t>
  </si>
  <si>
    <t>(ii) Income tax relating to items that will be reclassified to profit / (loss)</t>
  </si>
  <si>
    <t>Subtotal (B)</t>
  </si>
  <si>
    <t>Other comprehensive income (A + B)</t>
  </si>
  <si>
    <t>(IX) Total comprehensive income (VII + VIII)</t>
  </si>
  <si>
    <t>(X) Earnings per equity share</t>
  </si>
  <si>
    <t xml:space="preserve">Basic </t>
  </si>
  <si>
    <t xml:space="preserve">Diluted </t>
  </si>
  <si>
    <t xml:space="preserve">Particulars </t>
  </si>
  <si>
    <t>(d) Receivables</t>
  </si>
  <si>
    <t>(2) Non- financial assets</t>
  </si>
  <si>
    <t xml:space="preserve">(a) Cash and cash equivalents </t>
  </si>
  <si>
    <t xml:space="preserve">(b) Bank balance other than (a) above </t>
  </si>
  <si>
    <t xml:space="preserve">(c) Derivative financial instruments </t>
  </si>
  <si>
    <t xml:space="preserve">(i) Trade receivables </t>
  </si>
  <si>
    <t>(ii) Other receivables -</t>
  </si>
  <si>
    <t xml:space="preserve">(e) Loans </t>
  </si>
  <si>
    <t xml:space="preserve">(f) Investments </t>
  </si>
  <si>
    <t xml:space="preserve">(g) Other financial assets </t>
  </si>
  <si>
    <t xml:space="preserve">Total Financial assets </t>
  </si>
  <si>
    <t xml:space="preserve">(a) Current tax assets (net) </t>
  </si>
  <si>
    <t xml:space="preserve">(b) Deferred tax assets (net)  </t>
  </si>
  <si>
    <t xml:space="preserve">(c) Investment property </t>
  </si>
  <si>
    <t xml:space="preserve">(d) Property, plant and equipment </t>
  </si>
  <si>
    <t xml:space="preserve">(e) Other intangible assets </t>
  </si>
  <si>
    <t>(f) Other non-financial assets</t>
  </si>
  <si>
    <t xml:space="preserve">(g) Non-current non-financial asset held for sale </t>
  </si>
  <si>
    <t>Total Non-financial assets</t>
  </si>
  <si>
    <t xml:space="preserve">TOTAL - ASSETS </t>
  </si>
  <si>
    <t>LIABILITIES AND EQUITY</t>
  </si>
  <si>
    <t>LIABILITIES</t>
  </si>
  <si>
    <t>(i) Trade payables</t>
  </si>
  <si>
    <t>– Total outstanding dues of micro enterprises and small</t>
  </si>
  <si>
    <t>enterprises</t>
  </si>
  <si>
    <t>– Total outstanding dues of creditors other than micro</t>
  </si>
  <si>
    <t>enterprises and small enterprises</t>
  </si>
  <si>
    <t>(ii) Other payables</t>
  </si>
  <si>
    <t>– Total outstanding dues of creditors other than micro enterprises</t>
  </si>
  <si>
    <t>and small enterprises</t>
  </si>
  <si>
    <t>(2) Non-financial liabilities</t>
  </si>
  <si>
    <t>(3) EQUITY</t>
  </si>
  <si>
    <t>(1) Financial assets</t>
  </si>
  <si>
    <t>(1) Financial liabilities</t>
  </si>
  <si>
    <t xml:space="preserve">(a) Derivative financial instruments </t>
  </si>
  <si>
    <t xml:space="preserve">(b) Payables </t>
  </si>
  <si>
    <t xml:space="preserve">– Total outstanding dues of micro enterprises and small enterprises </t>
  </si>
  <si>
    <t xml:space="preserve">(c) Debt securities </t>
  </si>
  <si>
    <t xml:space="preserve">(d) Borrowings (other than debt securities) </t>
  </si>
  <si>
    <t xml:space="preserve">(e) Deposits </t>
  </si>
  <si>
    <t xml:space="preserve">(f) Subordinated liabilities </t>
  </si>
  <si>
    <t>(g) Other financial liabilities</t>
  </si>
  <si>
    <t xml:space="preserve">Total Financial liabilities </t>
  </si>
  <si>
    <t xml:space="preserve">(a) Current tax liabilities (net) </t>
  </si>
  <si>
    <t xml:space="preserve">(b) Provisions </t>
  </si>
  <si>
    <t xml:space="preserve">(c) Other non-financial liabilities </t>
  </si>
  <si>
    <t xml:space="preserve">Total Non-financial liabilities </t>
  </si>
  <si>
    <t xml:space="preserve">TOTAL LIABILITIES </t>
  </si>
  <si>
    <t xml:space="preserve">(a) Equity share capital </t>
  </si>
  <si>
    <t xml:space="preserve">(b) Other equity </t>
  </si>
  <si>
    <t>TOTAL EQUITY</t>
  </si>
  <si>
    <t xml:space="preserve">TOTAL - LIABILITIES AND EQUITY </t>
  </si>
  <si>
    <t>A CASH FLOW FROM OPERATING ACTIVITIES</t>
  </si>
  <si>
    <t xml:space="preserve">Profit before tax  </t>
  </si>
  <si>
    <t xml:space="preserve">Depreciation, amortisation and impairment </t>
  </si>
  <si>
    <t>Impairment on financial instruments (Expected credit loss)</t>
  </si>
  <si>
    <t xml:space="preserve">Share based payments to employees </t>
  </si>
  <si>
    <t>Net gain on fair value changes</t>
  </si>
  <si>
    <t xml:space="preserve">Interest expense </t>
  </si>
  <si>
    <t>Interest income including surplus on deployment in liquid instruments</t>
  </si>
  <si>
    <t>Profit on sale of investments and investment properties (net)</t>
  </si>
  <si>
    <t xml:space="preserve">Profit on sale of property, plant and equipment (net) </t>
  </si>
  <si>
    <t xml:space="preserve">Upfront gain on derecognised (assigned) loans </t>
  </si>
  <si>
    <t xml:space="preserve">Utilisation of shelter assistance reserve </t>
  </si>
  <si>
    <t>Operating profit before working capital changes and adjustment for Interest received and paid</t>
  </si>
  <si>
    <t xml:space="preserve">Increase in financial assets and non-financial assets </t>
  </si>
  <si>
    <t xml:space="preserve">Increase/(Decrease) in financial and non financial liabilities </t>
  </si>
  <si>
    <t xml:space="preserve">Cash used in operations before adjustments for Interest received and paid </t>
  </si>
  <si>
    <t>Interest income received including surplus on deployment in liquid instruments</t>
  </si>
  <si>
    <t xml:space="preserve">Interest expense paid </t>
  </si>
  <si>
    <t>Taxes paid (net of refunds)</t>
  </si>
  <si>
    <t>Net cash from operations</t>
  </si>
  <si>
    <t>Loans disbursed (at amortised cost) (net)</t>
  </si>
  <si>
    <t xml:space="preserve">Redemption/(Purchase) of liquid instruments (net) </t>
  </si>
  <si>
    <t xml:space="preserve">Net cash used in operating activities A </t>
  </si>
  <si>
    <t xml:space="preserve"> CASH FLOW FROM INVESTING ACTIVITIES</t>
  </si>
  <si>
    <t>Purchase of Investments</t>
  </si>
  <si>
    <t>Other investments :</t>
  </si>
  <si>
    <t>Purchase of property, plant and equipment &amp; intangible assets</t>
  </si>
  <si>
    <t xml:space="preserve">Proceeds from sale of property, plant and equipment </t>
  </si>
  <si>
    <t>Net cash used for property, plant and equipment</t>
  </si>
  <si>
    <t xml:space="preserve">Purchase of investment properties </t>
  </si>
  <si>
    <t>Proceeds from sale of investment properties</t>
  </si>
  <si>
    <t xml:space="preserve">Net cash used for investment properties </t>
  </si>
  <si>
    <t xml:space="preserve"> in subsidiary company </t>
  </si>
  <si>
    <t xml:space="preserve">in associate company </t>
  </si>
  <si>
    <t xml:space="preserve">Purchase of investments </t>
  </si>
  <si>
    <t>Proceeds from sale of investments</t>
  </si>
  <si>
    <t xml:space="preserve">Proceeds from sale of investments in associates </t>
  </si>
  <si>
    <t>Net cash used in investing activities B</t>
  </si>
  <si>
    <t>C CASH FLOW FROM FINANCING ACTIVITIES</t>
  </si>
  <si>
    <t>Components of cash and cash equivalents</t>
  </si>
  <si>
    <t>Share capital - equity</t>
  </si>
  <si>
    <t xml:space="preserve">Share application money </t>
  </si>
  <si>
    <t xml:space="preserve">Securities premium on issuance of equity shares (net) </t>
  </si>
  <si>
    <t xml:space="preserve">Proceeds from sale of investments in subsidiary companies </t>
  </si>
  <si>
    <t>Proceeds from issuance of debt securities and subordinated liabilities</t>
  </si>
  <si>
    <t xml:space="preserve">Repayment of debt securities and subordinated liabilities  </t>
  </si>
  <si>
    <t>Borrowings (other than debt securities) and subordinated liabilities (net)</t>
  </si>
  <si>
    <t xml:space="preserve">Deposits (net) (matured) / raised </t>
  </si>
  <si>
    <t xml:space="preserve">Cheques on hand </t>
  </si>
  <si>
    <t xml:space="preserve">In Deposit accounts with original maturity of 3 months or less </t>
  </si>
  <si>
    <t xml:space="preserve">In Current accounts </t>
  </si>
  <si>
    <t xml:space="preserve">Cash on hand </t>
  </si>
  <si>
    <t xml:space="preserve">Cash and cash equivalents as at the end of the year </t>
  </si>
  <si>
    <t>Add : Cash and cash equivalents as at the beginning of the year</t>
  </si>
  <si>
    <t xml:space="preserve">Net increase /(decrease) in cash and cash equivalents [A+B+C] </t>
  </si>
  <si>
    <t xml:space="preserve">Net cash from financing activities C </t>
  </si>
  <si>
    <t xml:space="preserve">Payments of lease liability </t>
  </si>
  <si>
    <t>Dividend paid - equity shares</t>
  </si>
  <si>
    <t xml:space="preserve">Investments </t>
  </si>
  <si>
    <t>Others</t>
  </si>
  <si>
    <t>Cash and Bank</t>
  </si>
  <si>
    <t>Advances (Loan Book)</t>
  </si>
  <si>
    <t>Loan growth %</t>
  </si>
  <si>
    <t>NIM</t>
  </si>
  <si>
    <t>Credit cost %</t>
  </si>
  <si>
    <t>Tax rate</t>
  </si>
  <si>
    <t>Cost synergy %</t>
  </si>
  <si>
    <t>Funding cost reduction (bps)</t>
  </si>
  <si>
    <t>Assets growth %</t>
  </si>
  <si>
    <t>Deposits growth %</t>
  </si>
  <si>
    <t>Borrowings growth %</t>
  </si>
  <si>
    <t>Total Funding (Deposits + Borrowings)</t>
  </si>
  <si>
    <t>Deposit Ratio</t>
  </si>
  <si>
    <t>Borrowings Ratio</t>
  </si>
  <si>
    <t xml:space="preserve">Loan-to-Deposit (LDR) Ratio </t>
  </si>
  <si>
    <r>
      <t>Net Interest Income(NII)</t>
    </r>
    <r>
      <rPr>
        <b/>
        <i/>
        <vertAlign val="superscript"/>
        <sz val="11"/>
        <color theme="1" tint="0.499984740745262"/>
        <rFont val="Calibri"/>
        <family val="2"/>
        <scheme val="minor"/>
      </rPr>
      <t>2</t>
    </r>
  </si>
  <si>
    <t>NII Growth%</t>
  </si>
  <si>
    <t>LDR</t>
  </si>
  <si>
    <t>Pre- merger</t>
  </si>
  <si>
    <t>Pro Forma</t>
  </si>
  <si>
    <t>Increase/(Decrease)</t>
  </si>
  <si>
    <t xml:space="preserve">Deposits Growth </t>
  </si>
  <si>
    <t>Loan Book Growth</t>
  </si>
  <si>
    <t xml:space="preserve">Borrowings Growth </t>
  </si>
  <si>
    <t xml:space="preserve">LDR </t>
  </si>
  <si>
    <t>Equity shares outstanding as at the end of the year</t>
  </si>
  <si>
    <t>New Shares (diluted)</t>
  </si>
  <si>
    <t>New Shares (basic)</t>
  </si>
  <si>
    <t xml:space="preserve"> less: Interest expended</t>
  </si>
  <si>
    <t>Net Interest Income(NII)</t>
  </si>
  <si>
    <t>Add: Other income</t>
  </si>
  <si>
    <t>Operating Income</t>
  </si>
  <si>
    <t>Integration cost: Not modeled separately, assumed immaterial as management did not disclose any significant one-time restructuring expense.</t>
  </si>
  <si>
    <t>Assumption Drivers</t>
  </si>
  <si>
    <t>Funding cost reduction (bps): Gradual replacement of high-cost HDFC Ltd borrowings with lower-cost deposits.</t>
  </si>
  <si>
    <t>Credit cost %: Calculated in the Ratio Analysis of HDFC Bank Ltd.</t>
  </si>
  <si>
    <t>CASA %: Calculated in the Ratio Analysis of HDFC Bank Ltd.</t>
  </si>
  <si>
    <t>Synergy Estimates</t>
  </si>
  <si>
    <t>A.</t>
  </si>
  <si>
    <t>Borrowing Replacement Assumption</t>
  </si>
  <si>
    <t>Year</t>
  </si>
  <si>
    <t>% Replaced</t>
  </si>
  <si>
    <t>Rate Difference</t>
  </si>
  <si>
    <t>Assume</t>
  </si>
  <si>
    <t xml:space="preserve">Borrowing cost </t>
  </si>
  <si>
    <t xml:space="preserve">Deposit cost </t>
  </si>
  <si>
    <t>Interest Savings Calculation</t>
  </si>
  <si>
    <t>Rate Diff</t>
  </si>
  <si>
    <t>Borrowings Replaced</t>
  </si>
  <si>
    <t>Interest Saving</t>
  </si>
  <si>
    <t>B.</t>
  </si>
  <si>
    <t>COST SYNERGY</t>
  </si>
  <si>
    <t>FUNDING SYNERGY</t>
  </si>
  <si>
    <t>Cost Synergy</t>
  </si>
  <si>
    <t>Operating Expenses</t>
  </si>
  <si>
    <t>Cost Savings</t>
  </si>
  <si>
    <t>C.</t>
  </si>
  <si>
    <t>TOTAL SYNERGY IMPACT</t>
  </si>
  <si>
    <t>Funding Benefit</t>
  </si>
  <si>
    <t>Cost Benefit</t>
  </si>
  <si>
    <t>Total Synergy</t>
  </si>
  <si>
    <t>After-Tax Synergy</t>
  </si>
  <si>
    <t>Tax Rate</t>
  </si>
  <si>
    <t>Adjusted Opex (After Synergy Impact)</t>
  </si>
  <si>
    <t>Adjusted NII(After Synergy Impact)</t>
  </si>
  <si>
    <t>Adjusted PAT (After Synergy Impact)</t>
  </si>
  <si>
    <t>Annual Dilation for No. of shares FY26 onwards</t>
  </si>
  <si>
    <t># Forecasted Borrowings taken as  Base Borrowings for FY26, FY27, and FY28</t>
  </si>
  <si>
    <t>Loan Growth assumed each year for forecast</t>
  </si>
  <si>
    <t>Medium-term EPS accretion % (FY23 PF to FY28)</t>
  </si>
  <si>
    <t>Assumption:</t>
  </si>
  <si>
    <t>Note:</t>
  </si>
  <si>
    <t>NIM assumed to stabilize in the 4.7–4.8% range as funding cost benefits from borrowing replacement are offset by competitive pressures and normalization of the balance sheet.</t>
  </si>
  <si>
    <t>Merger Impact / EPS Improvement Analysis</t>
  </si>
  <si>
    <t>EPS Trend</t>
  </si>
  <si>
    <t>EPS Diluted</t>
  </si>
  <si>
    <t>Improvement %</t>
  </si>
  <si>
    <t>Merger Impact Summary</t>
  </si>
  <si>
    <t>Change</t>
  </si>
  <si>
    <t>EPS</t>
  </si>
  <si>
    <t>Normalised</t>
  </si>
  <si>
    <t xml:space="preserve"> -2 bps</t>
  </si>
  <si>
    <t>Loan Book</t>
  </si>
  <si>
    <t>1. NIM remains stable as funding cost benefits are offset by balance sheet normalisation and competitive pressures.</t>
  </si>
  <si>
    <t>2. EPS expected to grow ~63% over five years</t>
  </si>
  <si>
    <t>3. LDR normalises to ~94% as borrowings decline</t>
  </si>
  <si>
    <t>4.Merger value creation is driven by replacement of high-cost borrowings with deposits and ~10% loan growth.</t>
  </si>
  <si>
    <t>5. NIM expansion is limited, indicating that earnings growth is driven by scale rather than margin expansion.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</si>
</sst>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mmm/yy&quot;A&quot;"/>
    <numFmt numFmtId="165" formatCode="mmm/yy&quot;E&quot;"/>
    <numFmt numFmtId="166" formatCode="#,##0.0;\(#,##0.0\)"/>
    <numFmt numFmtId="167" formatCode="0.00%;\ \(0.00%\)"/>
    <numFmt numFmtId="168" formatCode="&quot;FY&quot;yy&quot; Pro Forma&quot;"/>
    <numFmt numFmtId="169" formatCode="&quot;FY&quot;yy&quot;A&quot;"/>
    <numFmt numFmtId="170" formatCode="&quot;FY&quot;yy&quot;E&quot;"/>
    <numFmt numFmtId="172" formatCode="&quot;FY&quot;yy"/>
    <numFmt numFmtId="182" formatCode="0.0"/>
    <numFmt numFmtId="183" formatCode="&quot;FY&quot;yy&quot;-A&quot;"/>
    <numFmt numFmtId="184" formatCode="&quot;FY&quot;yy&quot;-E&quot;"/>
    <numFmt numFmtId="189" formatCode="\+0.00%;\(0.00%\)"/>
    <numFmt numFmtId="190" formatCode="0.00%&quot; CAGR&quot;"/>
    <numFmt numFmtId="193" formatCode="&quot;₹&quot;\ #,##0.0&quot; L Cr&quot;"/>
  </numFmts>
  <fonts count="2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i/>
      <vertAlign val="superscript"/>
      <sz val="11"/>
      <color theme="1" tint="0.49998474074526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b/>
      <i/>
      <vertAlign val="superscript"/>
      <sz val="11"/>
      <color theme="1" tint="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i/>
      <sz val="9"/>
      <color theme="1"/>
      <name val="Calibri"/>
      <family val="2"/>
    </font>
    <font>
      <b/>
      <i/>
      <sz val="10"/>
      <color theme="1"/>
      <name val="Calibri"/>
      <family val="2"/>
    </font>
    <font>
      <i/>
      <sz val="11"/>
      <color theme="2" tint="-0.499984740745262"/>
      <name val="Calibri"/>
      <family val="2"/>
    </font>
    <font>
      <i/>
      <sz val="11"/>
      <color theme="0" tint="-0.499984740745262"/>
      <name val="Calibri"/>
      <family val="2"/>
    </font>
    <font>
      <b/>
      <i/>
      <sz val="11"/>
      <color theme="0" tint="-0.499984740745262"/>
      <name val="Calibri"/>
      <family val="2"/>
    </font>
    <font>
      <b/>
      <i/>
      <sz val="11"/>
      <color theme="2" tint="-0.499984740745262"/>
      <name val="Calibri"/>
      <family val="2"/>
    </font>
    <font>
      <sz val="11"/>
      <name val="Calibri"/>
      <family val="2"/>
    </font>
    <font>
      <sz val="11"/>
      <color theme="0" tint="-0.499984740745262"/>
      <name val="Calibri"/>
      <family val="2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b/>
      <sz val="28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3" fontId="0" fillId="0" borderId="0" xfId="0" applyNumberFormat="1"/>
    <xf numFmtId="2" fontId="0" fillId="0" borderId="0" xfId="0" applyNumberFormat="1"/>
    <xf numFmtId="0" fontId="3" fillId="2" borderId="0" xfId="0" applyFont="1" applyFill="1"/>
    <xf numFmtId="0" fontId="4" fillId="3" borderId="0" xfId="0" applyFont="1" applyFill="1"/>
    <xf numFmtId="0" fontId="2" fillId="0" borderId="0" xfId="0" applyFont="1"/>
    <xf numFmtId="0" fontId="4" fillId="0" borderId="0" xfId="0" applyFont="1"/>
    <xf numFmtId="0" fontId="5" fillId="4" borderId="0" xfId="0" applyFont="1" applyFill="1"/>
    <xf numFmtId="0" fontId="8" fillId="4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166" fontId="0" fillId="0" borderId="0" xfId="0" applyNumberFormat="1"/>
    <xf numFmtId="166" fontId="5" fillId="4" borderId="0" xfId="0" applyNumberFormat="1" applyFont="1" applyFill="1"/>
    <xf numFmtId="166" fontId="10" fillId="0" borderId="0" xfId="0" applyNumberFormat="1" applyFont="1"/>
    <xf numFmtId="166" fontId="4" fillId="0" borderId="1" xfId="0" applyNumberFormat="1" applyFont="1" applyBorder="1"/>
    <xf numFmtId="166" fontId="0" fillId="0" borderId="2" xfId="0" applyNumberFormat="1" applyBorder="1"/>
    <xf numFmtId="166" fontId="4" fillId="0" borderId="0" xfId="0" applyNumberFormat="1" applyFont="1"/>
    <xf numFmtId="166" fontId="2" fillId="0" borderId="2" xfId="0" applyNumberFormat="1" applyFont="1" applyBorder="1"/>
    <xf numFmtId="166" fontId="4" fillId="0" borderId="2" xfId="0" applyNumberFormat="1" applyFont="1" applyBorder="1"/>
    <xf numFmtId="166" fontId="2" fillId="0" borderId="3" xfId="0" applyNumberFormat="1" applyFont="1" applyBorder="1"/>
    <xf numFmtId="0" fontId="0" fillId="3" borderId="0" xfId="0" applyFill="1"/>
    <xf numFmtId="0" fontId="2" fillId="0" borderId="0" xfId="0" applyFont="1" applyAlignment="1">
      <alignment horizontal="center"/>
    </xf>
    <xf numFmtId="4" fontId="0" fillId="0" borderId="0" xfId="0" applyNumberFormat="1"/>
    <xf numFmtId="4" fontId="5" fillId="4" borderId="0" xfId="0" applyNumberFormat="1" applyFont="1" applyFill="1"/>
    <xf numFmtId="166" fontId="0" fillId="0" borderId="1" xfId="0" applyNumberFormat="1" applyBorder="1"/>
    <xf numFmtId="166" fontId="2" fillId="0" borderId="1" xfId="0" applyNumberFormat="1" applyFont="1" applyBorder="1"/>
    <xf numFmtId="166" fontId="0" fillId="0" borderId="0" xfId="0" applyNumberFormat="1" applyAlignment="1">
      <alignment horizontal="right"/>
    </xf>
    <xf numFmtId="0" fontId="10" fillId="0" borderId="0" xfId="0" applyFont="1"/>
    <xf numFmtId="0" fontId="13" fillId="0" borderId="0" xfId="0" applyFont="1"/>
    <xf numFmtId="0" fontId="1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0" fontId="5" fillId="0" borderId="0" xfId="0" applyFont="1"/>
    <xf numFmtId="43" fontId="3" fillId="0" borderId="0" xfId="0" applyNumberFormat="1" applyFont="1"/>
    <xf numFmtId="17" fontId="3" fillId="2" borderId="0" xfId="0" applyNumberFormat="1" applyFont="1" applyFill="1"/>
    <xf numFmtId="166" fontId="14" fillId="4" borderId="0" xfId="0" applyNumberFormat="1" applyFont="1" applyFill="1"/>
    <xf numFmtId="166" fontId="14" fillId="0" borderId="0" xfId="0" applyNumberFormat="1" applyFont="1"/>
    <xf numFmtId="166" fontId="2" fillId="0" borderId="0" xfId="0" applyNumberFormat="1" applyFont="1"/>
    <xf numFmtId="0" fontId="10" fillId="0" borderId="1" xfId="0" applyFont="1" applyBorder="1"/>
    <xf numFmtId="0" fontId="10" fillId="0" borderId="2" xfId="0" applyFont="1" applyBorder="1"/>
    <xf numFmtId="0" fontId="15" fillId="4" borderId="0" xfId="0" applyFont="1" applyFill="1"/>
    <xf numFmtId="166" fontId="15" fillId="4" borderId="0" xfId="0" applyNumberFormat="1" applyFont="1" applyFill="1"/>
    <xf numFmtId="10" fontId="15" fillId="4" borderId="0" xfId="1" applyNumberFormat="1" applyFont="1" applyFill="1"/>
    <xf numFmtId="0" fontId="16" fillId="4" borderId="0" xfId="0" applyFont="1" applyFill="1"/>
    <xf numFmtId="166" fontId="16" fillId="4" borderId="0" xfId="0" applyNumberFormat="1" applyFont="1" applyFill="1"/>
    <xf numFmtId="166" fontId="17" fillId="4" borderId="0" xfId="0" applyNumberFormat="1" applyFont="1" applyFill="1"/>
    <xf numFmtId="10" fontId="17" fillId="4" borderId="0" xfId="1" applyNumberFormat="1" applyFont="1" applyFill="1"/>
    <xf numFmtId="0" fontId="2" fillId="5" borderId="0" xfId="0" applyFont="1" applyFill="1"/>
    <xf numFmtId="10" fontId="2" fillId="5" borderId="0" xfId="1" applyNumberFormat="1" applyFont="1" applyFill="1"/>
    <xf numFmtId="167" fontId="0" fillId="0" borderId="0" xfId="0" applyNumberFormat="1"/>
    <xf numFmtId="10" fontId="18" fillId="0" borderId="0" xfId="1" applyNumberFormat="1" applyFont="1" applyFill="1"/>
    <xf numFmtId="2" fontId="18" fillId="0" borderId="0" xfId="1" applyNumberFormat="1" applyFont="1" applyFill="1"/>
    <xf numFmtId="168" fontId="3" fillId="2" borderId="0" xfId="0" applyNumberFormat="1" applyFont="1" applyFill="1"/>
    <xf numFmtId="169" fontId="3" fillId="2" borderId="0" xfId="0" applyNumberFormat="1" applyFont="1" applyFill="1"/>
    <xf numFmtId="10" fontId="0" fillId="4" borderId="0" xfId="1" applyNumberFormat="1" applyFont="1" applyFill="1"/>
    <xf numFmtId="10" fontId="19" fillId="4" borderId="0" xfId="1" applyNumberFormat="1" applyFont="1" applyFill="1"/>
    <xf numFmtId="166" fontId="0" fillId="4" borderId="0" xfId="0" applyNumberFormat="1" applyFill="1"/>
    <xf numFmtId="10" fontId="5" fillId="4" borderId="0" xfId="1" applyNumberFormat="1" applyFont="1" applyFill="1"/>
    <xf numFmtId="0" fontId="11" fillId="0" borderId="0" xfId="0" applyFont="1" applyAlignment="1">
      <alignment horizontal="center"/>
    </xf>
    <xf numFmtId="43" fontId="3" fillId="2" borderId="0" xfId="0" applyNumberFormat="1" applyFont="1" applyFill="1" applyAlignment="1">
      <alignment horizontal="center"/>
    </xf>
    <xf numFmtId="0" fontId="4" fillId="0" borderId="0" xfId="0" applyFont="1" applyBorder="1"/>
    <xf numFmtId="166" fontId="15" fillId="0" borderId="0" xfId="0" applyNumberFormat="1" applyFont="1" applyFill="1"/>
    <xf numFmtId="10" fontId="15" fillId="0" borderId="0" xfId="1" applyNumberFormat="1" applyFont="1" applyFill="1"/>
    <xf numFmtId="0" fontId="0" fillId="0" borderId="0" xfId="0" applyFill="1"/>
    <xf numFmtId="0" fontId="4" fillId="6" borderId="0" xfId="0" applyFont="1" applyFill="1"/>
    <xf numFmtId="10" fontId="4" fillId="6" borderId="0" xfId="1" applyNumberFormat="1" applyFont="1" applyFill="1" applyBorder="1"/>
    <xf numFmtId="10" fontId="4" fillId="6" borderId="0" xfId="1" applyNumberFormat="1" applyFont="1" applyFill="1"/>
    <xf numFmtId="166" fontId="0" fillId="6" borderId="0" xfId="0" applyNumberFormat="1" applyFill="1"/>
    <xf numFmtId="0" fontId="0" fillId="6" borderId="0" xfId="0" applyFill="1"/>
    <xf numFmtId="0" fontId="2" fillId="6" borderId="0" xfId="0" applyFont="1" applyFill="1"/>
    <xf numFmtId="0" fontId="4" fillId="6" borderId="1" xfId="0" applyFont="1" applyFill="1" applyBorder="1"/>
    <xf numFmtId="166" fontId="0" fillId="6" borderId="1" xfId="0" applyNumberFormat="1" applyFill="1" applyBorder="1"/>
    <xf numFmtId="0" fontId="4" fillId="6" borderId="2" xfId="0" applyFont="1" applyFill="1" applyBorder="1"/>
    <xf numFmtId="166" fontId="2" fillId="6" borderId="2" xfId="0" applyNumberFormat="1" applyFont="1" applyFill="1" applyBorder="1"/>
    <xf numFmtId="0" fontId="4" fillId="6" borderId="3" xfId="0" applyFont="1" applyFill="1" applyBorder="1"/>
    <xf numFmtId="166" fontId="2" fillId="6" borderId="3" xfId="0" applyNumberFormat="1" applyFont="1" applyFill="1" applyBorder="1"/>
    <xf numFmtId="0" fontId="20" fillId="6" borderId="0" xfId="0" applyFont="1" applyFill="1"/>
    <xf numFmtId="166" fontId="19" fillId="6" borderId="0" xfId="0" applyNumberFormat="1" applyFont="1" applyFill="1"/>
    <xf numFmtId="166" fontId="20" fillId="6" borderId="0" xfId="0" applyNumberFormat="1" applyFont="1" applyFill="1"/>
    <xf numFmtId="10" fontId="2" fillId="6" borderId="0" xfId="1" applyNumberFormat="1" applyFont="1" applyFill="1"/>
    <xf numFmtId="172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82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Alignment="1"/>
    <xf numFmtId="182" fontId="0" fillId="0" borderId="0" xfId="0" applyNumberFormat="1" applyAlignment="1">
      <alignment horizontal="left"/>
    </xf>
    <xf numFmtId="183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Border="1"/>
    <xf numFmtId="170" fontId="3" fillId="7" borderId="0" xfId="0" applyNumberFormat="1" applyFont="1" applyFill="1"/>
    <xf numFmtId="0" fontId="3" fillId="7" borderId="0" xfId="0" applyFont="1" applyFill="1"/>
    <xf numFmtId="10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82" fontId="2" fillId="0" borderId="0" xfId="0" applyNumberFormat="1" applyFont="1" applyAlignment="1">
      <alignment horizontal="left"/>
    </xf>
    <xf numFmtId="184" fontId="2" fillId="0" borderId="0" xfId="0" applyNumberFormat="1" applyFont="1" applyAlignment="1">
      <alignment horizontal="left"/>
    </xf>
    <xf numFmtId="183" fontId="0" fillId="0" borderId="0" xfId="0" applyNumberFormat="1" applyFont="1" applyAlignment="1">
      <alignment horizontal="left"/>
    </xf>
    <xf numFmtId="0" fontId="0" fillId="0" borderId="0" xfId="0" applyFont="1"/>
    <xf numFmtId="0" fontId="21" fillId="8" borderId="0" xfId="0" applyFont="1" applyFill="1"/>
    <xf numFmtId="166" fontId="19" fillId="8" borderId="0" xfId="0" applyNumberFormat="1" applyFont="1" applyFill="1"/>
    <xf numFmtId="166" fontId="20" fillId="8" borderId="0" xfId="0" applyNumberFormat="1" applyFont="1" applyFill="1"/>
    <xf numFmtId="0" fontId="22" fillId="0" borderId="0" xfId="0" applyFont="1"/>
    <xf numFmtId="0" fontId="23" fillId="0" borderId="0" xfId="0" applyFont="1"/>
    <xf numFmtId="182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90" fontId="0" fillId="0" borderId="0" xfId="1" applyNumberFormat="1" applyFont="1"/>
    <xf numFmtId="0" fontId="24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Fill="1" applyAlignment="1">
      <alignment horizontal="right"/>
    </xf>
    <xf numFmtId="10" fontId="0" fillId="0" borderId="0" xfId="0" applyNumberFormat="1" applyFill="1"/>
    <xf numFmtId="10" fontId="0" fillId="0" borderId="0" xfId="1" applyNumberFormat="1" applyFont="1" applyFill="1"/>
    <xf numFmtId="9" fontId="0" fillId="0" borderId="0" xfId="0" applyNumberFormat="1" applyFill="1"/>
    <xf numFmtId="0" fontId="0" fillId="0" borderId="4" xfId="0" applyFill="1" applyBorder="1"/>
    <xf numFmtId="184" fontId="0" fillId="0" borderId="5" xfId="0" applyNumberFormat="1" applyFill="1" applyBorder="1" applyAlignment="1">
      <alignment horizontal="right"/>
    </xf>
    <xf numFmtId="0" fontId="0" fillId="0" borderId="0" xfId="0" applyFill="1" applyBorder="1"/>
    <xf numFmtId="183" fontId="0" fillId="0" borderId="5" xfId="0" applyNumberFormat="1" applyFill="1" applyBorder="1" applyAlignment="1">
      <alignment horizontal="right"/>
    </xf>
    <xf numFmtId="14" fontId="0" fillId="0" borderId="5" xfId="0" applyNumberFormat="1" applyBorder="1"/>
    <xf numFmtId="0" fontId="0" fillId="0" borderId="4" xfId="0" applyBorder="1"/>
    <xf numFmtId="0" fontId="4" fillId="0" borderId="4" xfId="0" applyFont="1" applyBorder="1"/>
    <xf numFmtId="3" fontId="0" fillId="0" borderId="4" xfId="0" applyNumberFormat="1" applyBorder="1"/>
    <xf numFmtId="0" fontId="0" fillId="0" borderId="5" xfId="0" applyBorder="1"/>
    <xf numFmtId="0" fontId="0" fillId="5" borderId="0" xfId="0" applyFill="1"/>
    <xf numFmtId="10" fontId="0" fillId="5" borderId="0" xfId="1" applyNumberFormat="1" applyFont="1" applyFill="1"/>
    <xf numFmtId="0" fontId="2" fillId="0" borderId="4" xfId="0" applyFont="1" applyBorder="1"/>
    <xf numFmtId="0" fontId="2" fillId="0" borderId="5" xfId="0" applyFont="1" applyBorder="1"/>
    <xf numFmtId="189" fontId="0" fillId="5" borderId="0" xfId="0" applyNumberFormat="1" applyFill="1" applyAlignment="1">
      <alignment horizontal="right"/>
    </xf>
    <xf numFmtId="2" fontId="1" fillId="5" borderId="0" xfId="1" applyNumberFormat="1" applyFont="1" applyFill="1" applyAlignment="1">
      <alignment horizontal="right"/>
    </xf>
    <xf numFmtId="0" fontId="0" fillId="5" borderId="0" xfId="0" applyFill="1" applyAlignment="1">
      <alignment horizontal="right"/>
    </xf>
    <xf numFmtId="190" fontId="0" fillId="5" borderId="0" xfId="1" applyNumberFormat="1" applyFont="1" applyFill="1"/>
    <xf numFmtId="0" fontId="2" fillId="9" borderId="0" xfId="0" applyFont="1" applyFill="1" applyAlignment="1">
      <alignment horizontal="right"/>
    </xf>
    <xf numFmtId="19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ipr\Downloads\HDFC%20Bank.xlsx" TargetMode="External"/><Relationship Id="rId1" Type="http://schemas.openxmlformats.org/officeDocument/2006/relationships/externalLinkPath" Target="file:///C:\Users\shipr\Downloads\HDFC%20Ba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3-Statement Model"/>
      <sheetName val="Ratio Analysis"/>
      <sheetName val="Comparable Company Analysis"/>
      <sheetName val="P&amp;L Raw Data"/>
      <sheetName val="Balance Sheet Raw Data"/>
      <sheetName val="Cash Flow Raw Data"/>
      <sheetName val="Assumptions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6">
          <cell r="H56">
            <v>44651</v>
          </cell>
          <cell r="I56">
            <v>45016</v>
          </cell>
          <cell r="J56">
            <v>45382</v>
          </cell>
          <cell r="K56">
            <v>45747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FDAF-8F1E-4CCC-ACE0-DF264A7050F1}">
  <dimension ref="A1:R14"/>
  <sheetViews>
    <sheetView showGridLines="0" workbookViewId="0">
      <selection activeCell="D23" sqref="D23"/>
    </sheetView>
  </sheetViews>
  <sheetFormatPr defaultRowHeight="14.4" x14ac:dyDescent="0.3"/>
  <cols>
    <col min="2" max="2" width="30" bestFit="1" customWidth="1"/>
    <col min="3" max="3" width="11.5546875" customWidth="1"/>
    <col min="4" max="5" width="13.88671875" bestFit="1" customWidth="1"/>
    <col min="6" max="7" width="14.6640625" bestFit="1" customWidth="1"/>
  </cols>
  <sheetData>
    <row r="1" spans="1:18" ht="10.8" customHeight="1" x14ac:dyDescent="0.3"/>
    <row r="2" spans="1:18" ht="46.2" customHeight="1" x14ac:dyDescent="0.7">
      <c r="A2" s="109" t="s">
        <v>292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4" spans="1:18" x14ac:dyDescent="0.3">
      <c r="C4" s="82"/>
      <c r="D4" s="82"/>
      <c r="E4" s="82"/>
      <c r="F4" s="82"/>
    </row>
    <row r="5" spans="1:18" x14ac:dyDescent="0.3">
      <c r="B5" s="118"/>
      <c r="C5" s="119">
        <f>'Post-Merger Actual'!F2</f>
        <v>45747</v>
      </c>
      <c r="D5" s="117">
        <f>'Post-Merger Actual'!F2+365</f>
        <v>46112</v>
      </c>
      <c r="E5" s="117">
        <f>D5+365</f>
        <v>46477</v>
      </c>
      <c r="F5" s="117">
        <f>E5+365</f>
        <v>46842</v>
      </c>
    </row>
    <row r="6" spans="1:18" x14ac:dyDescent="0.3">
      <c r="B6" s="116" t="s">
        <v>266</v>
      </c>
      <c r="C6" s="112" t="s">
        <v>31</v>
      </c>
      <c r="D6" s="65">
        <v>10</v>
      </c>
      <c r="E6" s="65">
        <v>20</v>
      </c>
      <c r="F6" s="65">
        <v>30</v>
      </c>
    </row>
    <row r="7" spans="1:18" x14ac:dyDescent="0.3">
      <c r="B7" s="116" t="s">
        <v>265</v>
      </c>
      <c r="C7" s="113">
        <v>5.0000000000000001E-3</v>
      </c>
      <c r="D7" s="65"/>
      <c r="E7" s="65"/>
      <c r="F7" s="65"/>
    </row>
    <row r="8" spans="1:18" x14ac:dyDescent="0.3">
      <c r="B8" s="116" t="s">
        <v>263</v>
      </c>
      <c r="C8" s="114">
        <v>9.3652071081362712E-3</v>
      </c>
      <c r="D8" s="65"/>
      <c r="E8" s="65"/>
      <c r="F8" s="65"/>
    </row>
    <row r="9" spans="1:18" x14ac:dyDescent="0.3">
      <c r="B9" s="116" t="s">
        <v>264</v>
      </c>
      <c r="C9" s="115">
        <v>0.25</v>
      </c>
      <c r="D9" s="65"/>
      <c r="E9" s="65"/>
      <c r="F9" s="65"/>
    </row>
    <row r="11" spans="1:18" x14ac:dyDescent="0.3">
      <c r="B11" t="s">
        <v>291</v>
      </c>
    </row>
    <row r="12" spans="1:18" x14ac:dyDescent="0.3">
      <c r="B12" t="s">
        <v>293</v>
      </c>
    </row>
    <row r="13" spans="1:18" x14ac:dyDescent="0.3">
      <c r="B13" t="s">
        <v>294</v>
      </c>
    </row>
    <row r="14" spans="1:18" x14ac:dyDescent="0.3">
      <c r="B14" t="s">
        <v>295</v>
      </c>
    </row>
  </sheetData>
  <mergeCells count="1">
    <mergeCell ref="A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3806-A33B-4B87-8B1B-F1A1F9402847}">
  <dimension ref="B1:J278"/>
  <sheetViews>
    <sheetView showGridLines="0" workbookViewId="0">
      <pane ySplit="4" topLeftCell="A39" activePane="bottomLeft" state="frozen"/>
      <selection pane="bottomLeft" activeCell="F122" sqref="F122"/>
    </sheetView>
  </sheetViews>
  <sheetFormatPr defaultRowHeight="14.4" x14ac:dyDescent="0.3"/>
  <cols>
    <col min="2" max="2" width="59" bestFit="1" customWidth="1"/>
    <col min="3" max="3" width="22.21875" bestFit="1" customWidth="1"/>
    <col min="4" max="4" width="14.33203125" bestFit="1" customWidth="1"/>
    <col min="5" max="6" width="14.6640625" bestFit="1" customWidth="1"/>
    <col min="8" max="8" width="20" bestFit="1" customWidth="1"/>
    <col min="9" max="9" width="13.6640625" bestFit="1" customWidth="1"/>
    <col min="10" max="10" width="9.5546875" bestFit="1" customWidth="1"/>
  </cols>
  <sheetData>
    <row r="1" spans="2:6" ht="36.6" x14ac:dyDescent="0.7">
      <c r="B1" s="109" t="s">
        <v>105</v>
      </c>
      <c r="C1" s="109"/>
      <c r="D1" s="109"/>
      <c r="E1" s="109"/>
      <c r="F1" s="109"/>
    </row>
    <row r="3" spans="2:6" x14ac:dyDescent="0.3">
      <c r="B3" s="111" t="s">
        <v>44</v>
      </c>
      <c r="C3" s="111"/>
      <c r="D3" s="111"/>
      <c r="E3" s="111"/>
      <c r="F3" s="111"/>
    </row>
    <row r="4" spans="2:6" x14ac:dyDescent="0.3">
      <c r="C4" s="120">
        <v>44651</v>
      </c>
      <c r="D4" s="120">
        <v>45016</v>
      </c>
      <c r="E4" s="120">
        <v>45382</v>
      </c>
      <c r="F4" s="120">
        <v>45747</v>
      </c>
    </row>
    <row r="5" spans="2:6" x14ac:dyDescent="0.3">
      <c r="B5" s="121" t="s">
        <v>19</v>
      </c>
    </row>
    <row r="6" spans="2:6" x14ac:dyDescent="0.3">
      <c r="B6" s="121" t="s">
        <v>20</v>
      </c>
      <c r="C6" s="1">
        <v>1277531191</v>
      </c>
      <c r="D6" s="1">
        <v>1615855367</v>
      </c>
      <c r="E6" s="2">
        <v>2583405755</v>
      </c>
      <c r="F6" s="2">
        <v>3005170417</v>
      </c>
    </row>
    <row r="7" spans="2:6" x14ac:dyDescent="0.3">
      <c r="B7" s="121" t="s">
        <v>21</v>
      </c>
      <c r="C7" s="1">
        <v>295099004</v>
      </c>
      <c r="D7" s="1">
        <v>312148251</v>
      </c>
      <c r="E7" s="2">
        <v>492409994</v>
      </c>
      <c r="F7" s="2">
        <v>456322818</v>
      </c>
    </row>
    <row r="8" spans="2:6" x14ac:dyDescent="0.3">
      <c r="B8" s="121" t="s">
        <v>22</v>
      </c>
      <c r="C8" s="1">
        <v>1572630195</v>
      </c>
      <c r="D8" s="1">
        <v>1928003618</v>
      </c>
      <c r="E8" s="2">
        <v>3075815749</v>
      </c>
      <c r="F8" s="2">
        <v>3461493235</v>
      </c>
    </row>
    <row r="9" spans="2:6" x14ac:dyDescent="0.3">
      <c r="B9" s="121" t="s">
        <v>23</v>
      </c>
      <c r="E9" s="2"/>
      <c r="F9" s="2"/>
    </row>
    <row r="10" spans="2:6" x14ac:dyDescent="0.3">
      <c r="B10" s="121" t="s">
        <v>24</v>
      </c>
      <c r="C10" s="1">
        <v>557435282</v>
      </c>
      <c r="D10" s="1">
        <v>747433173</v>
      </c>
      <c r="E10" s="2">
        <v>1498081008</v>
      </c>
      <c r="F10" s="2">
        <v>1778469527</v>
      </c>
    </row>
    <row r="11" spans="2:6" x14ac:dyDescent="0.3">
      <c r="B11" s="121" t="s">
        <v>25</v>
      </c>
      <c r="C11" s="1">
        <v>374421858</v>
      </c>
      <c r="D11" s="1">
        <v>476520844</v>
      </c>
      <c r="E11" s="2">
        <v>633860240</v>
      </c>
      <c r="F11" s="2">
        <v>681748820</v>
      </c>
    </row>
    <row r="12" spans="2:6" x14ac:dyDescent="0.3">
      <c r="B12" s="121" t="s">
        <v>26</v>
      </c>
      <c r="C12" s="1">
        <v>271159503</v>
      </c>
      <c r="D12" s="1">
        <v>262962587</v>
      </c>
      <c r="E12" s="2">
        <v>335751716</v>
      </c>
      <c r="F12" s="2">
        <v>327801307</v>
      </c>
    </row>
    <row r="13" spans="2:6" x14ac:dyDescent="0.3">
      <c r="B13" s="121" t="s">
        <v>15</v>
      </c>
      <c r="C13" s="1">
        <v>1203016643</v>
      </c>
      <c r="D13" s="1">
        <v>1486916604</v>
      </c>
      <c r="E13" s="2">
        <v>2467692964</v>
      </c>
      <c r="F13" s="2">
        <v>2788019654</v>
      </c>
    </row>
    <row r="14" spans="2:6" x14ac:dyDescent="0.3">
      <c r="B14" s="121" t="s">
        <v>27</v>
      </c>
      <c r="E14" s="2"/>
      <c r="F14" s="2"/>
    </row>
    <row r="15" spans="2:6" x14ac:dyDescent="0.3">
      <c r="B15" s="121" t="s">
        <v>28</v>
      </c>
      <c r="C15" s="1">
        <v>369613552</v>
      </c>
      <c r="D15" s="1">
        <v>441087014</v>
      </c>
      <c r="E15" s="2">
        <v>608122785</v>
      </c>
      <c r="F15" s="2">
        <v>673473581</v>
      </c>
    </row>
    <row r="16" spans="2:6" x14ac:dyDescent="0.3">
      <c r="B16" s="121" t="s">
        <v>29</v>
      </c>
      <c r="C16" s="1">
        <v>736527947</v>
      </c>
      <c r="D16" s="1">
        <v>931856743</v>
      </c>
      <c r="E16" s="2">
        <v>1129599963</v>
      </c>
      <c r="F16" s="2">
        <v>1395798306</v>
      </c>
    </row>
    <row r="17" spans="2:6" x14ac:dyDescent="0.3">
      <c r="B17" s="121" t="s">
        <v>30</v>
      </c>
      <c r="E17" s="2">
        <v>35701097</v>
      </c>
      <c r="F17" s="2" t="s">
        <v>31</v>
      </c>
    </row>
    <row r="18" spans="2:6" x14ac:dyDescent="0.3">
      <c r="B18" s="121" t="s">
        <v>7</v>
      </c>
      <c r="C18" s="1">
        <v>1106141499</v>
      </c>
      <c r="D18" s="1">
        <v>1372943757</v>
      </c>
      <c r="E18" s="2">
        <v>1773423845</v>
      </c>
      <c r="F18" s="2">
        <v>2069271887</v>
      </c>
    </row>
    <row r="19" spans="2:6" x14ac:dyDescent="0.3">
      <c r="B19" s="121" t="s">
        <v>32</v>
      </c>
      <c r="E19" s="2"/>
      <c r="F19" s="2"/>
    </row>
    <row r="20" spans="2:6" x14ac:dyDescent="0.3">
      <c r="B20" s="121" t="s">
        <v>33</v>
      </c>
      <c r="C20" s="1">
        <v>92403388</v>
      </c>
      <c r="D20" s="1">
        <v>110271754</v>
      </c>
      <c r="E20" s="2">
        <v>152030697</v>
      </c>
      <c r="F20" s="2">
        <v>168368395</v>
      </c>
    </row>
    <row r="21" spans="2:6" x14ac:dyDescent="0.3">
      <c r="B21" s="121" t="s">
        <v>34</v>
      </c>
      <c r="C21" s="1">
        <v>36961355</v>
      </c>
      <c r="D21" s="1">
        <v>44108702</v>
      </c>
      <c r="E21" s="2">
        <v>60812279</v>
      </c>
      <c r="F21" s="2">
        <v>67347358</v>
      </c>
    </row>
    <row r="22" spans="2:6" x14ac:dyDescent="0.3">
      <c r="B22" s="121" t="s">
        <v>35</v>
      </c>
      <c r="D22" s="1">
        <v>5000000</v>
      </c>
      <c r="E22" s="2">
        <v>30000000</v>
      </c>
      <c r="F22" s="2">
        <v>32000000</v>
      </c>
    </row>
    <row r="23" spans="2:6" x14ac:dyDescent="0.3">
      <c r="B23" s="121" t="s">
        <v>36</v>
      </c>
      <c r="C23" s="1">
        <v>6664722</v>
      </c>
      <c r="D23" s="1">
        <v>46127</v>
      </c>
      <c r="E23" s="2">
        <v>41664119</v>
      </c>
      <c r="F23" s="2">
        <v>5069983</v>
      </c>
    </row>
    <row r="24" spans="2:6" x14ac:dyDescent="0.3">
      <c r="B24" s="121" t="s">
        <v>37</v>
      </c>
      <c r="C24" s="1">
        <v>2331331</v>
      </c>
      <c r="D24" s="1">
        <v>-2947976</v>
      </c>
      <c r="E24" s="2">
        <v>5294222</v>
      </c>
      <c r="F24" s="2" t="s">
        <v>31</v>
      </c>
    </row>
    <row r="25" spans="2:6" x14ac:dyDescent="0.3">
      <c r="B25" s="121" t="s">
        <v>38</v>
      </c>
      <c r="D25" s="1">
        <v>820000</v>
      </c>
      <c r="E25" s="2">
        <v>3780000</v>
      </c>
      <c r="F25" s="2" t="s">
        <v>31</v>
      </c>
    </row>
    <row r="26" spans="2:6" x14ac:dyDescent="0.3">
      <c r="B26" s="121" t="s">
        <v>39</v>
      </c>
      <c r="C26" s="1">
        <v>35923960</v>
      </c>
      <c r="D26" s="1">
        <v>86045187</v>
      </c>
      <c r="E26" s="2">
        <v>84044222</v>
      </c>
      <c r="F26" s="2">
        <v>148261930</v>
      </c>
    </row>
    <row r="27" spans="2:6" x14ac:dyDescent="0.3">
      <c r="B27" s="121" t="s">
        <v>40</v>
      </c>
      <c r="C27" s="1">
        <v>931856743</v>
      </c>
      <c r="D27" s="1">
        <v>1129599963</v>
      </c>
      <c r="E27" s="2">
        <v>1395798306</v>
      </c>
      <c r="F27" s="2">
        <v>1648224221</v>
      </c>
    </row>
    <row r="28" spans="2:6" x14ac:dyDescent="0.3">
      <c r="B28" s="121" t="s">
        <v>7</v>
      </c>
      <c r="C28" s="1">
        <v>1106141499</v>
      </c>
      <c r="D28" s="1">
        <v>1372943757</v>
      </c>
      <c r="E28" s="2">
        <v>1773423845</v>
      </c>
      <c r="F28" s="2">
        <v>2069271887</v>
      </c>
    </row>
    <row r="29" spans="2:6" x14ac:dyDescent="0.3">
      <c r="B29" s="121" t="s">
        <v>41</v>
      </c>
      <c r="E29" s="2"/>
      <c r="F29" s="2"/>
    </row>
    <row r="30" spans="2:6" x14ac:dyDescent="0.3">
      <c r="B30" s="121" t="s">
        <v>42</v>
      </c>
      <c r="C30">
        <v>66.8</v>
      </c>
      <c r="D30">
        <v>79.25</v>
      </c>
      <c r="E30" s="2">
        <v>85.83</v>
      </c>
      <c r="F30" s="2">
        <v>88.29</v>
      </c>
    </row>
    <row r="31" spans="2:6" x14ac:dyDescent="0.3">
      <c r="B31" s="121" t="s">
        <v>43</v>
      </c>
      <c r="C31">
        <v>66.349999999999994</v>
      </c>
      <c r="D31">
        <v>78.89</v>
      </c>
      <c r="E31" s="2">
        <v>85.44</v>
      </c>
      <c r="F31" s="2">
        <v>87.9</v>
      </c>
    </row>
    <row r="32" spans="2:6" x14ac:dyDescent="0.3">
      <c r="B32" s="121"/>
      <c r="E32" s="2"/>
      <c r="F32" s="2"/>
    </row>
    <row r="33" spans="2:6" x14ac:dyDescent="0.3">
      <c r="B33" s="122" t="s">
        <v>97</v>
      </c>
    </row>
    <row r="34" spans="2:6" x14ac:dyDescent="0.3">
      <c r="B34" s="121" t="s">
        <v>98</v>
      </c>
      <c r="C34" s="2">
        <v>5533203566</v>
      </c>
      <c r="D34" s="2">
        <v>5565714265</v>
      </c>
      <c r="E34" s="2">
        <v>7084807443</v>
      </c>
      <c r="F34" s="2">
        <v>7627793180</v>
      </c>
    </row>
    <row r="35" spans="2:6" x14ac:dyDescent="0.3">
      <c r="B35" s="121" t="s">
        <v>99</v>
      </c>
      <c r="C35" s="2">
        <v>37730419</v>
      </c>
      <c r="D35" s="2">
        <v>25469391</v>
      </c>
      <c r="E35" s="2">
        <v>32445707</v>
      </c>
      <c r="F35" s="2">
        <v>34177391</v>
      </c>
    </row>
    <row r="36" spans="2:6" x14ac:dyDescent="0.3">
      <c r="B36" s="121" t="s">
        <v>100</v>
      </c>
      <c r="C36" s="2">
        <v>5570933985</v>
      </c>
      <c r="D36" s="2">
        <v>5591183656</v>
      </c>
      <c r="E36" s="2">
        <v>7117253150</v>
      </c>
      <c r="F36" s="2">
        <v>7661970571</v>
      </c>
    </row>
    <row r="37" spans="2:6" x14ac:dyDescent="0.3">
      <c r="E37" s="2"/>
      <c r="F37" s="2"/>
    </row>
    <row r="38" spans="2:6" x14ac:dyDescent="0.3">
      <c r="B38" s="111" t="s">
        <v>18</v>
      </c>
      <c r="C38" s="111"/>
      <c r="D38" s="111"/>
      <c r="E38" s="111"/>
      <c r="F38" s="111"/>
    </row>
    <row r="40" spans="2:6" x14ac:dyDescent="0.3">
      <c r="C40" s="120">
        <v>44651</v>
      </c>
      <c r="D40" s="120">
        <v>45016</v>
      </c>
      <c r="E40" s="120">
        <v>45382</v>
      </c>
      <c r="F40" s="120">
        <v>45747</v>
      </c>
    </row>
    <row r="41" spans="2:6" x14ac:dyDescent="0.3">
      <c r="B41" s="121" t="s">
        <v>0</v>
      </c>
    </row>
    <row r="42" spans="2:6" x14ac:dyDescent="0.3">
      <c r="B42" s="121" t="s">
        <v>1</v>
      </c>
      <c r="C42" s="1">
        <v>5545541</v>
      </c>
      <c r="D42" s="1">
        <v>5579743</v>
      </c>
      <c r="E42" s="2">
        <v>7596911</v>
      </c>
      <c r="F42" s="2">
        <v>7652222</v>
      </c>
    </row>
    <row r="43" spans="2:6" x14ac:dyDescent="0.3">
      <c r="B43" s="121" t="s">
        <v>2</v>
      </c>
      <c r="E43" s="2">
        <v>26527161</v>
      </c>
      <c r="F43" s="2">
        <v>38051944</v>
      </c>
    </row>
    <row r="44" spans="2:6" x14ac:dyDescent="0.3">
      <c r="B44" s="121" t="s">
        <v>3</v>
      </c>
      <c r="C44" s="1">
        <v>2395383846</v>
      </c>
      <c r="D44" s="1">
        <v>2796410334</v>
      </c>
      <c r="E44" s="2">
        <v>4368333979</v>
      </c>
      <c r="F44" s="2">
        <v>4968542229</v>
      </c>
    </row>
    <row r="45" spans="2:6" x14ac:dyDescent="0.3">
      <c r="B45" s="121" t="s">
        <v>4</v>
      </c>
      <c r="C45" s="1">
        <v>15592174400</v>
      </c>
      <c r="D45" s="1">
        <v>18833946463</v>
      </c>
      <c r="E45" s="2">
        <v>23797862764</v>
      </c>
      <c r="F45" s="2">
        <v>27147148959</v>
      </c>
    </row>
    <row r="46" spans="2:6" x14ac:dyDescent="0.3">
      <c r="B46" s="121" t="s">
        <v>5</v>
      </c>
      <c r="C46" s="1">
        <v>1848172073</v>
      </c>
      <c r="D46" s="1">
        <v>2067655655</v>
      </c>
      <c r="E46" s="2">
        <v>6621530751</v>
      </c>
      <c r="F46" s="2">
        <v>5479308926</v>
      </c>
    </row>
    <row r="47" spans="2:6" x14ac:dyDescent="0.3">
      <c r="B47" s="121" t="s">
        <v>6</v>
      </c>
      <c r="C47" s="1">
        <v>844074643</v>
      </c>
      <c r="D47" s="1">
        <v>957222477</v>
      </c>
      <c r="E47" s="2">
        <v>1354379303</v>
      </c>
      <c r="F47" s="2">
        <v>1461285166</v>
      </c>
    </row>
    <row r="48" spans="2:6" x14ac:dyDescent="0.3">
      <c r="B48" s="121" t="s">
        <v>7</v>
      </c>
      <c r="C48" s="1">
        <v>20685350503</v>
      </c>
      <c r="D48" s="1">
        <v>24660814672</v>
      </c>
      <c r="E48" s="2">
        <v>36176230869</v>
      </c>
      <c r="F48" s="2">
        <v>39101989446</v>
      </c>
    </row>
    <row r="49" spans="2:10" x14ac:dyDescent="0.3">
      <c r="B49" s="121" t="s">
        <v>8</v>
      </c>
      <c r="E49" s="2"/>
      <c r="F49" s="2"/>
    </row>
    <row r="50" spans="2:10" x14ac:dyDescent="0.3">
      <c r="B50" s="121" t="s">
        <v>9</v>
      </c>
      <c r="C50" s="1">
        <v>1299956352</v>
      </c>
      <c r="D50" s="1">
        <v>1171607706</v>
      </c>
      <c r="E50" s="2">
        <v>1786832228</v>
      </c>
      <c r="F50" s="2">
        <v>1443550296</v>
      </c>
    </row>
    <row r="51" spans="2:10" x14ac:dyDescent="0.3">
      <c r="B51" s="121" t="s">
        <v>10</v>
      </c>
      <c r="C51" s="1">
        <v>223312892</v>
      </c>
      <c r="D51" s="1">
        <v>766043125</v>
      </c>
      <c r="E51" s="2">
        <v>404641953</v>
      </c>
      <c r="F51" s="2">
        <v>952156416</v>
      </c>
      <c r="H51" s="28" t="s">
        <v>259</v>
      </c>
      <c r="I51" s="2" cm="1">
        <f t="array" ref="I51">SUM((E50:E51)/10000)</f>
        <v>219147.41809999998</v>
      </c>
      <c r="J51" s="2" cm="1">
        <f t="array" ref="J51">SUM((F50:F51)/10000)</f>
        <v>239570.67120000001</v>
      </c>
    </row>
    <row r="52" spans="2:10" x14ac:dyDescent="0.3">
      <c r="B52" s="121" t="s">
        <v>11</v>
      </c>
      <c r="C52" s="1">
        <v>4555356930</v>
      </c>
      <c r="D52" s="1">
        <v>5170014280</v>
      </c>
      <c r="E52" s="2">
        <v>7024149587</v>
      </c>
      <c r="F52" s="2">
        <v>8363596736</v>
      </c>
      <c r="H52" s="28" t="s">
        <v>257</v>
      </c>
      <c r="I52">
        <f>E52/10000</f>
        <v>702414.95869999996</v>
      </c>
      <c r="J52">
        <f>F52/10000</f>
        <v>836359.67359999998</v>
      </c>
    </row>
    <row r="53" spans="2:10" x14ac:dyDescent="0.3">
      <c r="B53" s="121" t="s">
        <v>12</v>
      </c>
      <c r="C53" s="1">
        <v>13688209314</v>
      </c>
      <c r="D53" s="1">
        <v>16005859000</v>
      </c>
      <c r="E53" s="2">
        <v>24848615188.000004</v>
      </c>
      <c r="F53" s="2">
        <v>26196086171</v>
      </c>
      <c r="H53" s="5" t="s">
        <v>260</v>
      </c>
      <c r="I53">
        <f>E53/10000</f>
        <v>2484861.5188000002</v>
      </c>
      <c r="J53">
        <f>F53/10000</f>
        <v>2619608.6170999999</v>
      </c>
    </row>
    <row r="54" spans="2:10" x14ac:dyDescent="0.3">
      <c r="B54" s="121" t="s">
        <v>13</v>
      </c>
      <c r="C54" s="1">
        <v>60836735</v>
      </c>
      <c r="D54" s="1">
        <v>80165410</v>
      </c>
      <c r="E54" s="2">
        <v>113989878.00000001</v>
      </c>
      <c r="F54" s="2">
        <v>136553987</v>
      </c>
      <c r="H54" s="42" t="s">
        <v>261</v>
      </c>
    </row>
    <row r="55" spans="2:10" x14ac:dyDescent="0.3">
      <c r="B55" s="121" t="s">
        <v>14</v>
      </c>
      <c r="C55" s="1">
        <v>857678280</v>
      </c>
      <c r="D55" s="1">
        <v>1467125151</v>
      </c>
      <c r="E55" s="2">
        <v>1998002035</v>
      </c>
      <c r="F55" s="2">
        <v>2010045840</v>
      </c>
      <c r="H55" s="28" t="s">
        <v>258</v>
      </c>
      <c r="I55" cm="1">
        <f t="array" ref="I55">SUM((E54:E55)/10000)</f>
        <v>211199.19130000001</v>
      </c>
      <c r="J55" cm="1">
        <f t="array" ref="J55">SUM((F54:F55)/10000)</f>
        <v>214659.98269999999</v>
      </c>
    </row>
    <row r="56" spans="2:10" x14ac:dyDescent="0.3">
      <c r="B56" s="121" t="s">
        <v>15</v>
      </c>
      <c r="C56" s="1">
        <v>20685350503</v>
      </c>
      <c r="D56" s="1">
        <v>24660814672</v>
      </c>
      <c r="E56" s="2">
        <v>36176230869</v>
      </c>
      <c r="F56" s="2">
        <v>39101989446</v>
      </c>
      <c r="H56" s="9" t="s">
        <v>104</v>
      </c>
    </row>
    <row r="57" spans="2:10" x14ac:dyDescent="0.3">
      <c r="B57" s="121" t="s">
        <v>16</v>
      </c>
      <c r="C57" s="1">
        <v>13954422995</v>
      </c>
      <c r="D57" s="1">
        <v>17481303179</v>
      </c>
      <c r="E57" s="2">
        <v>22967583363</v>
      </c>
      <c r="F57" s="2">
        <v>26474170018.000004</v>
      </c>
      <c r="H57" s="42" t="s">
        <v>267</v>
      </c>
    </row>
    <row r="58" spans="2:10" x14ac:dyDescent="0.3">
      <c r="B58" s="121" t="s">
        <v>17</v>
      </c>
      <c r="C58" s="1">
        <v>569680463</v>
      </c>
      <c r="D58" s="1">
        <v>714395377</v>
      </c>
      <c r="E58" s="2">
        <v>653328740</v>
      </c>
      <c r="F58" s="2">
        <v>706795543.99999988</v>
      </c>
    </row>
    <row r="61" spans="2:10" x14ac:dyDescent="0.3">
      <c r="B61" s="111" t="s">
        <v>86</v>
      </c>
      <c r="C61" s="111"/>
      <c r="D61" s="111"/>
      <c r="E61" s="111"/>
      <c r="F61" s="111"/>
    </row>
    <row r="63" spans="2:10" x14ac:dyDescent="0.3">
      <c r="C63" s="120">
        <v>44651</v>
      </c>
      <c r="D63" s="120">
        <v>45016</v>
      </c>
      <c r="E63" s="120">
        <v>45382</v>
      </c>
      <c r="F63" s="120">
        <v>45747</v>
      </c>
    </row>
    <row r="64" spans="2:10" x14ac:dyDescent="0.3">
      <c r="B64" s="121" t="s">
        <v>45</v>
      </c>
    </row>
    <row r="65" spans="2:6" x14ac:dyDescent="0.3">
      <c r="B65" s="121" t="s">
        <v>46</v>
      </c>
      <c r="C65" s="2">
        <v>490154792</v>
      </c>
      <c r="D65" s="2">
        <v>584853016</v>
      </c>
      <c r="E65" s="2">
        <v>708953051</v>
      </c>
      <c r="F65" s="2">
        <v>884780560</v>
      </c>
    </row>
    <row r="66" spans="2:6" x14ac:dyDescent="0.3">
      <c r="B66" s="121" t="s">
        <v>47</v>
      </c>
      <c r="C66" s="2"/>
      <c r="D66" s="2"/>
      <c r="E66" s="2"/>
      <c r="F66" s="2"/>
    </row>
    <row r="67" spans="2:6" x14ac:dyDescent="0.3">
      <c r="B67" s="121" t="s">
        <v>48</v>
      </c>
      <c r="C67" s="2">
        <v>15998039</v>
      </c>
      <c r="D67" s="2">
        <v>22424793</v>
      </c>
      <c r="E67" s="2">
        <v>28100988</v>
      </c>
      <c r="F67" s="2">
        <v>33794728</v>
      </c>
    </row>
    <row r="68" spans="2:6" x14ac:dyDescent="0.3">
      <c r="B68" s="121" t="s">
        <v>49</v>
      </c>
      <c r="C68" s="2">
        <v>-15463977</v>
      </c>
      <c r="D68" s="2">
        <v>5458202</v>
      </c>
      <c r="E68" s="2">
        <v>-9434922</v>
      </c>
      <c r="F68" s="2">
        <v>2683978</v>
      </c>
    </row>
    <row r="69" spans="2:6" x14ac:dyDescent="0.3">
      <c r="B69" s="121" t="s">
        <v>50</v>
      </c>
      <c r="C69" s="2">
        <v>8213244</v>
      </c>
      <c r="D69" s="2">
        <v>8511961</v>
      </c>
      <c r="E69" s="2">
        <v>8449479</v>
      </c>
      <c r="F69" s="2">
        <v>-278677</v>
      </c>
    </row>
    <row r="70" spans="2:6" x14ac:dyDescent="0.3">
      <c r="B70" s="121" t="s">
        <v>51</v>
      </c>
      <c r="C70" s="2">
        <v>33388</v>
      </c>
      <c r="D70" s="2">
        <v>-82875</v>
      </c>
      <c r="E70" s="2">
        <v>-738174</v>
      </c>
      <c r="F70" s="2">
        <v>-226517</v>
      </c>
    </row>
    <row r="71" spans="2:6" x14ac:dyDescent="0.3">
      <c r="B71" s="121" t="s">
        <v>52</v>
      </c>
      <c r="C71" s="2" t="s">
        <v>31</v>
      </c>
      <c r="D71" s="2" t="s">
        <v>31</v>
      </c>
      <c r="E71" s="2">
        <v>-73414237</v>
      </c>
      <c r="F71" s="2">
        <v>80000</v>
      </c>
    </row>
    <row r="72" spans="2:6" x14ac:dyDescent="0.3">
      <c r="B72" s="121" t="s">
        <v>53</v>
      </c>
      <c r="C72" s="2">
        <v>106334842</v>
      </c>
      <c r="D72" s="2">
        <v>117873839</v>
      </c>
      <c r="E72" s="2">
        <v>107748189</v>
      </c>
      <c r="F72" s="2">
        <v>127153073</v>
      </c>
    </row>
    <row r="73" spans="2:6" x14ac:dyDescent="0.3">
      <c r="B73" s="121" t="s">
        <v>54</v>
      </c>
      <c r="C73" s="2" t="s">
        <v>31</v>
      </c>
      <c r="D73" s="2" t="s">
        <v>31</v>
      </c>
      <c r="E73" s="2">
        <v>109000000</v>
      </c>
      <c r="F73" s="2" t="s">
        <v>31</v>
      </c>
    </row>
    <row r="74" spans="2:6" x14ac:dyDescent="0.3">
      <c r="B74" s="121" t="s">
        <v>55</v>
      </c>
      <c r="C74" s="2">
        <v>49569684</v>
      </c>
      <c r="D74" s="2">
        <v>1322746</v>
      </c>
      <c r="E74" s="2">
        <v>18173261</v>
      </c>
      <c r="F74" s="2">
        <v>-10658745</v>
      </c>
    </row>
    <row r="75" spans="2:6" x14ac:dyDescent="0.3">
      <c r="B75" s="121" t="s">
        <v>56</v>
      </c>
      <c r="C75" s="2">
        <v>-8308954</v>
      </c>
      <c r="D75" s="2">
        <v>-8109753</v>
      </c>
      <c r="E75" s="2">
        <v>-13323911</v>
      </c>
      <c r="F75" s="2">
        <v>-21870101</v>
      </c>
    </row>
    <row r="76" spans="2:6" x14ac:dyDescent="0.3">
      <c r="B76" s="121" t="s">
        <v>57</v>
      </c>
      <c r="C76" s="2">
        <v>3259696</v>
      </c>
      <c r="D76" s="2">
        <v>7488973</v>
      </c>
      <c r="E76" s="2">
        <v>15474040</v>
      </c>
      <c r="F76" s="2">
        <v>18907034</v>
      </c>
    </row>
    <row r="77" spans="2:6" x14ac:dyDescent="0.3">
      <c r="B77" s="123"/>
      <c r="C77" s="2">
        <v>649790754</v>
      </c>
      <c r="D77" s="2">
        <v>739740902</v>
      </c>
      <c r="E77" s="2">
        <v>898987764</v>
      </c>
      <c r="F77" s="2">
        <v>1034365333</v>
      </c>
    </row>
    <row r="78" spans="2:6" x14ac:dyDescent="0.3">
      <c r="B78" s="121" t="s">
        <v>47</v>
      </c>
      <c r="C78" s="2"/>
      <c r="D78" s="2"/>
      <c r="E78" s="2"/>
      <c r="F78" s="2"/>
    </row>
    <row r="79" spans="2:6" x14ac:dyDescent="0.3">
      <c r="B79" s="121" t="s">
        <v>58</v>
      </c>
      <c r="C79" s="2">
        <v>-121951685</v>
      </c>
      <c r="D79" s="2">
        <v>-633308892</v>
      </c>
      <c r="E79" s="2">
        <v>-548336186</v>
      </c>
      <c r="F79" s="2">
        <v>-1302003741</v>
      </c>
    </row>
    <row r="80" spans="2:6" x14ac:dyDescent="0.3">
      <c r="B80" s="121" t="s">
        <v>59</v>
      </c>
      <c r="C80" s="2">
        <v>-2466388983</v>
      </c>
      <c r="D80" s="2">
        <v>-2435526411</v>
      </c>
      <c r="E80" s="2">
        <v>-2894442171</v>
      </c>
      <c r="F80" s="2">
        <v>-1489033797</v>
      </c>
    </row>
    <row r="81" spans="2:6" x14ac:dyDescent="0.3">
      <c r="B81" s="121" t="s">
        <v>60</v>
      </c>
      <c r="C81" s="2">
        <v>2241572192</v>
      </c>
      <c r="D81" s="2">
        <v>3241772063</v>
      </c>
      <c r="E81" s="2">
        <v>3391324138</v>
      </c>
      <c r="F81" s="2">
        <v>3349286195</v>
      </c>
    </row>
    <row r="82" spans="2:6" x14ac:dyDescent="0.3">
      <c r="B82" s="121" t="s">
        <v>61</v>
      </c>
      <c r="C82" s="2">
        <v>-380235846</v>
      </c>
      <c r="D82" s="2">
        <v>-594093460</v>
      </c>
      <c r="E82" s="2">
        <v>-292254127</v>
      </c>
      <c r="F82" s="2">
        <v>-73424525</v>
      </c>
    </row>
    <row r="83" spans="2:6" x14ac:dyDescent="0.3">
      <c r="B83" s="121" t="s">
        <v>62</v>
      </c>
      <c r="C83" s="2">
        <v>75178971</v>
      </c>
      <c r="D83" s="2">
        <v>109307200</v>
      </c>
      <c r="E83" s="2">
        <v>-6692396</v>
      </c>
      <c r="F83" s="2">
        <v>106340648</v>
      </c>
    </row>
    <row r="84" spans="2:6" x14ac:dyDescent="0.3">
      <c r="B84" s="123"/>
      <c r="C84" s="2">
        <v>-2034597</v>
      </c>
      <c r="D84" s="2">
        <v>427891402</v>
      </c>
      <c r="E84" s="2">
        <v>548587022</v>
      </c>
      <c r="F84" s="2">
        <v>1625530113</v>
      </c>
    </row>
    <row r="85" spans="2:6" x14ac:dyDescent="0.3">
      <c r="B85" s="121" t="s">
        <v>63</v>
      </c>
      <c r="C85" s="2">
        <v>-140052624</v>
      </c>
      <c r="D85" s="2">
        <v>-154757324</v>
      </c>
      <c r="E85" s="2">
        <v>-198437376</v>
      </c>
      <c r="F85" s="2">
        <v>-173757076</v>
      </c>
    </row>
    <row r="86" spans="2:6" x14ac:dyDescent="0.3">
      <c r="B86" s="121" t="s">
        <v>64</v>
      </c>
      <c r="C86" s="2">
        <v>-142087221</v>
      </c>
      <c r="D86" s="2">
        <v>273134078</v>
      </c>
      <c r="E86" s="2">
        <v>350149646</v>
      </c>
      <c r="F86" s="2">
        <v>1451773037</v>
      </c>
    </row>
    <row r="87" spans="2:6" x14ac:dyDescent="0.3">
      <c r="B87" s="121" t="s">
        <v>65</v>
      </c>
      <c r="C87" s="2"/>
      <c r="D87" s="2"/>
      <c r="E87" s="2"/>
      <c r="F87" s="2"/>
    </row>
    <row r="88" spans="2:6" x14ac:dyDescent="0.3">
      <c r="B88" s="121" t="s">
        <v>66</v>
      </c>
      <c r="C88" s="2">
        <v>-21407866</v>
      </c>
      <c r="D88" s="2">
        <v>-32804687</v>
      </c>
      <c r="E88" s="2">
        <v>-38348940</v>
      </c>
      <c r="F88" s="2">
        <v>-31986944</v>
      </c>
    </row>
    <row r="89" spans="2:6" x14ac:dyDescent="0.3">
      <c r="B89" s="121" t="s">
        <v>67</v>
      </c>
      <c r="C89" s="2">
        <v>182956</v>
      </c>
      <c r="D89" s="2">
        <v>406121</v>
      </c>
      <c r="E89" s="2">
        <v>960042</v>
      </c>
      <c r="F89" s="2">
        <v>904484</v>
      </c>
    </row>
    <row r="90" spans="2:6" x14ac:dyDescent="0.3">
      <c r="B90" s="121" t="s">
        <v>68</v>
      </c>
      <c r="C90" s="2"/>
      <c r="D90" s="2"/>
      <c r="E90" s="2"/>
      <c r="F90" s="2">
        <v>-13097695</v>
      </c>
    </row>
    <row r="91" spans="2:6" x14ac:dyDescent="0.3">
      <c r="B91" s="121" t="s">
        <v>69</v>
      </c>
      <c r="C91" s="2"/>
      <c r="D91" s="2"/>
      <c r="E91" s="2">
        <v>95006717</v>
      </c>
      <c r="F91" s="2">
        <v>1920000</v>
      </c>
    </row>
    <row r="92" spans="2:6" x14ac:dyDescent="0.3">
      <c r="B92" s="121" t="s">
        <v>70</v>
      </c>
      <c r="C92" s="2">
        <v>8308954</v>
      </c>
      <c r="D92" s="2">
        <v>8109753</v>
      </c>
      <c r="E92" s="2">
        <v>13323911</v>
      </c>
      <c r="F92" s="2">
        <v>21870101</v>
      </c>
    </row>
    <row r="93" spans="2:6" x14ac:dyDescent="0.3">
      <c r="B93" s="121" t="s">
        <v>71</v>
      </c>
      <c r="C93" s="2">
        <v>-12915956</v>
      </c>
      <c r="D93" s="2">
        <v>-24288813</v>
      </c>
      <c r="E93" s="2">
        <v>70941730</v>
      </c>
      <c r="F93" s="2">
        <v>-20390054</v>
      </c>
    </row>
    <row r="94" spans="2:6" x14ac:dyDescent="0.3">
      <c r="B94" s="121" t="s">
        <v>72</v>
      </c>
      <c r="C94" s="2"/>
      <c r="D94" s="2"/>
      <c r="E94" s="2"/>
      <c r="F94" s="2"/>
    </row>
    <row r="95" spans="2:6" x14ac:dyDescent="0.3">
      <c r="B95" s="121" t="s">
        <v>73</v>
      </c>
      <c r="C95" s="2"/>
      <c r="D95" s="2"/>
      <c r="E95" s="2">
        <v>31928121</v>
      </c>
      <c r="F95" s="2"/>
    </row>
    <row r="96" spans="2:6" x14ac:dyDescent="0.3">
      <c r="B96" s="121" t="s">
        <v>74</v>
      </c>
      <c r="C96" s="2"/>
      <c r="D96" s="2"/>
      <c r="E96" s="2">
        <v>52497323</v>
      </c>
      <c r="F96" s="2">
        <v>63464973</v>
      </c>
    </row>
    <row r="97" spans="2:6" x14ac:dyDescent="0.3">
      <c r="B97" s="121" t="s">
        <v>75</v>
      </c>
      <c r="C97" s="2">
        <v>26097614</v>
      </c>
      <c r="D97" s="2">
        <v>34158331</v>
      </c>
      <c r="E97" s="2"/>
      <c r="F97" s="2"/>
    </row>
    <row r="98" spans="2:6" x14ac:dyDescent="0.3">
      <c r="B98" s="121" t="s">
        <v>76</v>
      </c>
      <c r="C98" s="2">
        <v>81627500</v>
      </c>
      <c r="D98" s="2">
        <v>230000000</v>
      </c>
      <c r="E98" s="2"/>
      <c r="F98" s="2"/>
    </row>
    <row r="99" spans="2:6" x14ac:dyDescent="0.3">
      <c r="B99" s="121" t="s">
        <v>77</v>
      </c>
      <c r="C99" s="2">
        <v>-36500000</v>
      </c>
      <c r="D99" s="2">
        <v>-114770000</v>
      </c>
      <c r="E99" s="2"/>
      <c r="F99" s="2"/>
    </row>
    <row r="100" spans="2:6" x14ac:dyDescent="0.3">
      <c r="B100" s="121" t="s">
        <v>78</v>
      </c>
      <c r="C100" s="2">
        <v>446616337</v>
      </c>
      <c r="D100" s="2">
        <v>97876082</v>
      </c>
      <c r="E100" s="2">
        <v>-222750573</v>
      </c>
      <c r="F100" s="2">
        <v>-1144291825</v>
      </c>
    </row>
    <row r="101" spans="2:6" x14ac:dyDescent="0.3">
      <c r="B101" s="121" t="s">
        <v>79</v>
      </c>
      <c r="C101" s="2">
        <v>-35923960</v>
      </c>
      <c r="D101" s="2">
        <v>-86045187</v>
      </c>
      <c r="E101" s="2">
        <v>-84044222</v>
      </c>
      <c r="F101" s="2">
        <v>-148261930</v>
      </c>
    </row>
    <row r="102" spans="2:6" x14ac:dyDescent="0.3">
      <c r="B102" s="121" t="s">
        <v>80</v>
      </c>
      <c r="C102" s="2">
        <v>481917491</v>
      </c>
      <c r="D102" s="2">
        <v>161219226</v>
      </c>
      <c r="E102" s="2">
        <v>-222369351</v>
      </c>
      <c r="F102" s="2">
        <v>-1229088782</v>
      </c>
    </row>
    <row r="103" spans="2:6" x14ac:dyDescent="0.3">
      <c r="B103" s="121" t="s">
        <v>81</v>
      </c>
      <c r="C103" s="2">
        <v>1650973</v>
      </c>
      <c r="D103" s="2">
        <v>4317096</v>
      </c>
      <c r="E103" s="2">
        <v>1012629</v>
      </c>
      <c r="F103" s="2">
        <v>1938330</v>
      </c>
    </row>
    <row r="104" spans="2:6" x14ac:dyDescent="0.3">
      <c r="B104" s="121" t="s">
        <v>82</v>
      </c>
      <c r="C104" s="2">
        <v>328565287</v>
      </c>
      <c r="D104" s="2">
        <v>414381587</v>
      </c>
      <c r="E104" s="2">
        <v>199734654</v>
      </c>
      <c r="F104" s="2">
        <v>204232531</v>
      </c>
    </row>
    <row r="105" spans="2:6" x14ac:dyDescent="0.3">
      <c r="B105" s="121" t="s">
        <v>83</v>
      </c>
      <c r="C105" s="2">
        <v>1194703957</v>
      </c>
      <c r="D105" s="2">
        <v>1523269244</v>
      </c>
      <c r="E105" s="2">
        <v>1937650831</v>
      </c>
      <c r="F105" s="2">
        <v>2191474181</v>
      </c>
    </row>
    <row r="106" spans="2:6" x14ac:dyDescent="0.3">
      <c r="B106" s="121" t="s">
        <v>84</v>
      </c>
      <c r="C106" s="2"/>
      <c r="D106" s="2"/>
      <c r="E106" s="2">
        <v>54088696</v>
      </c>
      <c r="F106" s="2"/>
    </row>
    <row r="107" spans="2:6" x14ac:dyDescent="0.3">
      <c r="B107" s="121" t="s">
        <v>85</v>
      </c>
      <c r="C107" s="2">
        <v>1523269244</v>
      </c>
      <c r="D107" s="2">
        <v>1937650831</v>
      </c>
      <c r="E107" s="2">
        <v>2191474181</v>
      </c>
      <c r="F107" s="2">
        <v>2395706712</v>
      </c>
    </row>
    <row r="110" spans="2:6" ht="23.4" x14ac:dyDescent="0.45">
      <c r="B110" s="60" t="s">
        <v>106</v>
      </c>
      <c r="C110" s="60"/>
      <c r="D110" s="60"/>
      <c r="E110" s="60"/>
      <c r="F110" s="60"/>
    </row>
    <row r="112" spans="2:6" x14ac:dyDescent="0.3">
      <c r="B112" s="111" t="s">
        <v>44</v>
      </c>
      <c r="C112" s="111"/>
      <c r="D112" s="111"/>
      <c r="E112" s="111"/>
      <c r="F112" s="111"/>
    </row>
    <row r="114" spans="2:4" x14ac:dyDescent="0.3">
      <c r="B114" t="s">
        <v>146</v>
      </c>
      <c r="C114" s="124" t="s">
        <v>108</v>
      </c>
      <c r="D114" s="124" t="s">
        <v>107</v>
      </c>
    </row>
    <row r="115" spans="2:4" x14ac:dyDescent="0.3">
      <c r="B115" s="121" t="s">
        <v>109</v>
      </c>
    </row>
    <row r="116" spans="2:4" x14ac:dyDescent="0.3">
      <c r="B116" s="121" t="s">
        <v>112</v>
      </c>
      <c r="C116" s="23">
        <v>43297.21</v>
      </c>
      <c r="D116" s="23">
        <v>54997.31</v>
      </c>
    </row>
    <row r="117" spans="2:4" x14ac:dyDescent="0.3">
      <c r="B117" s="121" t="s">
        <v>113</v>
      </c>
      <c r="C117">
        <v>561.4</v>
      </c>
      <c r="D117">
        <v>245.11</v>
      </c>
    </row>
    <row r="118" spans="2:4" x14ac:dyDescent="0.3">
      <c r="B118" s="121" t="s">
        <v>114</v>
      </c>
      <c r="C118" s="23">
        <v>1510.99</v>
      </c>
      <c r="D118" s="23">
        <v>2735.25</v>
      </c>
    </row>
    <row r="119" spans="2:4" x14ac:dyDescent="0.3">
      <c r="B119" s="121" t="s">
        <v>115</v>
      </c>
      <c r="C119">
        <v>81.08</v>
      </c>
      <c r="D119">
        <v>81.45</v>
      </c>
    </row>
    <row r="120" spans="2:4" x14ac:dyDescent="0.3">
      <c r="B120" s="121" t="s">
        <v>116</v>
      </c>
      <c r="C120">
        <v>252.63</v>
      </c>
      <c r="D120">
        <v>322.47000000000003</v>
      </c>
    </row>
    <row r="121" spans="2:4" x14ac:dyDescent="0.3">
      <c r="B121" s="121" t="s">
        <v>117</v>
      </c>
      <c r="C121">
        <v>938.47</v>
      </c>
      <c r="D121">
        <v>362.1</v>
      </c>
    </row>
    <row r="122" spans="2:4" x14ac:dyDescent="0.3">
      <c r="B122" s="121" t="s">
        <v>118</v>
      </c>
      <c r="C122">
        <v>259.29000000000002</v>
      </c>
      <c r="D122">
        <v>188.84</v>
      </c>
    </row>
    <row r="123" spans="2:4" x14ac:dyDescent="0.3">
      <c r="B123" s="121" t="s">
        <v>119</v>
      </c>
      <c r="C123" s="23">
        <v>1056</v>
      </c>
      <c r="D123" s="23">
        <v>1244.54</v>
      </c>
    </row>
    <row r="124" spans="2:4" x14ac:dyDescent="0.3">
      <c r="B124" s="121" t="s">
        <v>120</v>
      </c>
      <c r="C124" s="23">
        <v>47957.07</v>
      </c>
      <c r="D124" s="23">
        <v>60177.07</v>
      </c>
    </row>
    <row r="125" spans="2:4" x14ac:dyDescent="0.3">
      <c r="B125" s="121" t="s">
        <v>121</v>
      </c>
      <c r="C125">
        <v>33.130000000000003</v>
      </c>
      <c r="D125">
        <v>46.58</v>
      </c>
    </row>
    <row r="126" spans="2:4" x14ac:dyDescent="0.3">
      <c r="B126" s="121" t="s">
        <v>122</v>
      </c>
      <c r="C126" s="23">
        <v>47990.2</v>
      </c>
      <c r="D126" s="23">
        <v>60223.65</v>
      </c>
    </row>
    <row r="127" spans="2:4" x14ac:dyDescent="0.3">
      <c r="B127" s="121" t="s">
        <v>110</v>
      </c>
    </row>
    <row r="128" spans="2:4" x14ac:dyDescent="0.3">
      <c r="B128" s="121" t="s">
        <v>123</v>
      </c>
      <c r="C128" s="23">
        <v>26739.21</v>
      </c>
      <c r="D128" s="23">
        <v>35994.74</v>
      </c>
    </row>
    <row r="129" spans="2:4" x14ac:dyDescent="0.3">
      <c r="B129" s="121" t="s">
        <v>124</v>
      </c>
      <c r="C129" s="23">
        <v>1932</v>
      </c>
      <c r="D129" s="23">
        <v>1795</v>
      </c>
    </row>
    <row r="130" spans="2:4" x14ac:dyDescent="0.3">
      <c r="B130" s="121" t="s">
        <v>125</v>
      </c>
      <c r="C130" s="23">
        <v>1060.79</v>
      </c>
      <c r="D130" s="23">
        <v>1025.25</v>
      </c>
    </row>
    <row r="131" spans="2:4" x14ac:dyDescent="0.3">
      <c r="B131" s="121" t="s">
        <v>126</v>
      </c>
      <c r="C131">
        <v>172.29</v>
      </c>
      <c r="D131">
        <v>275.86</v>
      </c>
    </row>
    <row r="132" spans="2:4" x14ac:dyDescent="0.3">
      <c r="B132" s="121" t="s">
        <v>127</v>
      </c>
      <c r="C132">
        <v>839.6</v>
      </c>
      <c r="D132" s="23">
        <v>1118.76</v>
      </c>
    </row>
    <row r="133" spans="2:4" x14ac:dyDescent="0.3">
      <c r="B133" s="121" t="s">
        <v>128</v>
      </c>
      <c r="C133" s="23">
        <v>30743.89</v>
      </c>
      <c r="D133" s="23">
        <v>40209.61</v>
      </c>
    </row>
    <row r="134" spans="2:4" x14ac:dyDescent="0.3">
      <c r="B134" s="121" t="s">
        <v>129</v>
      </c>
      <c r="C134" s="23">
        <v>17246.310000000001</v>
      </c>
      <c r="D134" s="23">
        <v>20014.04</v>
      </c>
    </row>
    <row r="135" spans="2:4" x14ac:dyDescent="0.3">
      <c r="B135" s="121" t="s">
        <v>111</v>
      </c>
    </row>
    <row r="136" spans="2:4" x14ac:dyDescent="0.3">
      <c r="B136" s="121" t="s">
        <v>130</v>
      </c>
      <c r="C136" s="23">
        <v>3514.25</v>
      </c>
      <c r="D136" s="23">
        <v>3535.11</v>
      </c>
    </row>
    <row r="137" spans="2:4" x14ac:dyDescent="0.3">
      <c r="B137" s="121" t="s">
        <v>131</v>
      </c>
      <c r="C137">
        <v>-10.119999999999999</v>
      </c>
      <c r="D137">
        <v>239.57</v>
      </c>
    </row>
    <row r="138" spans="2:4" x14ac:dyDescent="0.3">
      <c r="B138" s="121" t="s">
        <v>132</v>
      </c>
      <c r="C138" s="23">
        <v>3504.13</v>
      </c>
      <c r="D138" s="23">
        <v>3774.68</v>
      </c>
    </row>
    <row r="139" spans="2:4" x14ac:dyDescent="0.3">
      <c r="B139" s="121" t="s">
        <v>133</v>
      </c>
      <c r="C139" s="23">
        <v>13742.18</v>
      </c>
      <c r="D139" s="23">
        <v>16239.36</v>
      </c>
    </row>
    <row r="140" spans="2:4" x14ac:dyDescent="0.3">
      <c r="B140" s="121" t="s">
        <v>134</v>
      </c>
    </row>
    <row r="141" spans="2:4" x14ac:dyDescent="0.3">
      <c r="B141" s="121" t="s">
        <v>135</v>
      </c>
      <c r="C141">
        <v>-44.25</v>
      </c>
      <c r="D141">
        <v>-873.08</v>
      </c>
    </row>
    <row r="142" spans="2:4" x14ac:dyDescent="0.3">
      <c r="B142" s="121" t="s">
        <v>136</v>
      </c>
      <c r="C142">
        <v>-10.89</v>
      </c>
      <c r="D142">
        <v>28.99</v>
      </c>
    </row>
    <row r="143" spans="2:4" x14ac:dyDescent="0.3">
      <c r="B143" s="121" t="s">
        <v>137</v>
      </c>
      <c r="C143">
        <v>-55.14</v>
      </c>
      <c r="D143">
        <v>-844.09</v>
      </c>
    </row>
    <row r="144" spans="2:4" x14ac:dyDescent="0.3">
      <c r="B144" s="121" t="s">
        <v>138</v>
      </c>
      <c r="C144">
        <v>118.93</v>
      </c>
      <c r="D144">
        <v>77.47</v>
      </c>
    </row>
    <row r="145" spans="2:6" x14ac:dyDescent="0.3">
      <c r="B145" s="121" t="s">
        <v>139</v>
      </c>
      <c r="C145">
        <v>-29.93</v>
      </c>
      <c r="D145">
        <v>-19.5</v>
      </c>
    </row>
    <row r="146" spans="2:6" x14ac:dyDescent="0.3">
      <c r="B146" s="121" t="s">
        <v>140</v>
      </c>
      <c r="C146">
        <v>89</v>
      </c>
      <c r="D146">
        <v>57.97</v>
      </c>
    </row>
    <row r="147" spans="2:6" x14ac:dyDescent="0.3">
      <c r="B147" s="121" t="s">
        <v>141</v>
      </c>
      <c r="C147">
        <v>33.86</v>
      </c>
      <c r="D147">
        <v>-786.12</v>
      </c>
    </row>
    <row r="148" spans="2:6" x14ac:dyDescent="0.3">
      <c r="B148" s="121" t="s">
        <v>142</v>
      </c>
      <c r="C148" s="23">
        <v>13776.04</v>
      </c>
      <c r="D148" s="23">
        <v>15453.24</v>
      </c>
    </row>
    <row r="149" spans="2:6" x14ac:dyDescent="0.3">
      <c r="B149" s="121" t="s">
        <v>143</v>
      </c>
    </row>
    <row r="150" spans="2:6" x14ac:dyDescent="0.3">
      <c r="B150" s="121" t="s">
        <v>144</v>
      </c>
      <c r="C150">
        <v>76.010000000000005</v>
      </c>
      <c r="D150">
        <v>89.24</v>
      </c>
    </row>
    <row r="151" spans="2:6" x14ac:dyDescent="0.3">
      <c r="B151" s="121" t="s">
        <v>145</v>
      </c>
      <c r="C151">
        <v>75.2</v>
      </c>
      <c r="D151">
        <v>88.48</v>
      </c>
    </row>
    <row r="152" spans="2:6" x14ac:dyDescent="0.3">
      <c r="B152" s="121"/>
    </row>
    <row r="153" spans="2:6" x14ac:dyDescent="0.3">
      <c r="B153" s="121" t="s">
        <v>284</v>
      </c>
      <c r="C153" s="1">
        <v>1813028276</v>
      </c>
      <c r="D153" s="1">
        <v>1834555988</v>
      </c>
    </row>
    <row r="156" spans="2:6" x14ac:dyDescent="0.3">
      <c r="B156" s="111" t="s">
        <v>18</v>
      </c>
      <c r="C156" s="111"/>
      <c r="D156" s="111"/>
      <c r="E156" s="111"/>
      <c r="F156" s="111"/>
    </row>
    <row r="157" spans="2:6" x14ac:dyDescent="0.3">
      <c r="B157" s="22"/>
      <c r="C157" s="22"/>
      <c r="D157" s="22"/>
      <c r="E157" s="22"/>
      <c r="F157" s="22"/>
    </row>
    <row r="158" spans="2:6" x14ac:dyDescent="0.3">
      <c r="B158" t="s">
        <v>146</v>
      </c>
      <c r="C158" s="124" t="s">
        <v>108</v>
      </c>
      <c r="D158" s="124" t="s">
        <v>107</v>
      </c>
      <c r="E158" s="22"/>
      <c r="F158" s="22"/>
    </row>
    <row r="159" spans="2:6" x14ac:dyDescent="0.3">
      <c r="B159" s="121" t="s">
        <v>8</v>
      </c>
    </row>
    <row r="160" spans="2:6" x14ac:dyDescent="0.3">
      <c r="B160" s="121" t="s">
        <v>179</v>
      </c>
    </row>
    <row r="161" spans="2:4" x14ac:dyDescent="0.3">
      <c r="B161" s="121" t="s">
        <v>149</v>
      </c>
      <c r="C161">
        <v>565.49</v>
      </c>
      <c r="D161">
        <v>701.24</v>
      </c>
    </row>
    <row r="162" spans="2:4" x14ac:dyDescent="0.3">
      <c r="B162" s="121" t="s">
        <v>150</v>
      </c>
      <c r="C162">
        <v>227.44</v>
      </c>
      <c r="D162">
        <v>516.36</v>
      </c>
    </row>
    <row r="163" spans="2:4" x14ac:dyDescent="0.3">
      <c r="B163" s="121" t="s">
        <v>151</v>
      </c>
      <c r="C163" s="23">
        <v>1322.8</v>
      </c>
      <c r="D163" s="23">
        <v>2263.0100000000002</v>
      </c>
    </row>
    <row r="164" spans="2:4" x14ac:dyDescent="0.3">
      <c r="B164" s="121" t="s">
        <v>147</v>
      </c>
    </row>
    <row r="165" spans="2:4" x14ac:dyDescent="0.3">
      <c r="B165" s="121" t="s">
        <v>152</v>
      </c>
      <c r="C165">
        <v>178.65</v>
      </c>
      <c r="D165">
        <v>220.74</v>
      </c>
    </row>
    <row r="166" spans="2:4" x14ac:dyDescent="0.3">
      <c r="B166" s="121" t="s">
        <v>153</v>
      </c>
      <c r="C166" t="s">
        <v>31</v>
      </c>
      <c r="D166" t="s">
        <v>31</v>
      </c>
    </row>
    <row r="167" spans="2:4" x14ac:dyDescent="0.3">
      <c r="B167" s="121" t="s">
        <v>154</v>
      </c>
      <c r="C167" s="23">
        <v>554862.51</v>
      </c>
      <c r="D167" s="23">
        <v>608362.68000000005</v>
      </c>
    </row>
    <row r="168" spans="2:4" x14ac:dyDescent="0.3">
      <c r="B168" s="121" t="s">
        <v>155</v>
      </c>
      <c r="C168" s="23">
        <v>68592.22</v>
      </c>
      <c r="D168" s="23">
        <v>97718.05</v>
      </c>
    </row>
    <row r="169" spans="2:4" x14ac:dyDescent="0.3">
      <c r="B169" s="121" t="s">
        <v>156</v>
      </c>
      <c r="C169" s="23">
        <v>5573.54</v>
      </c>
      <c r="D169" s="23">
        <v>7009.74</v>
      </c>
    </row>
    <row r="170" spans="2:4" x14ac:dyDescent="0.3">
      <c r="B170" s="121" t="s">
        <v>157</v>
      </c>
      <c r="C170" s="23">
        <v>631322.65</v>
      </c>
      <c r="D170" s="23">
        <v>716791.82</v>
      </c>
    </row>
    <row r="171" spans="2:4" x14ac:dyDescent="0.3">
      <c r="B171" s="121" t="s">
        <v>148</v>
      </c>
    </row>
    <row r="172" spans="2:4" x14ac:dyDescent="0.3">
      <c r="B172" s="121" t="s">
        <v>158</v>
      </c>
      <c r="C172" s="23">
        <v>2617.5500000000002</v>
      </c>
      <c r="D172" s="23">
        <v>3123.7</v>
      </c>
    </row>
    <row r="173" spans="2:4" x14ac:dyDescent="0.3">
      <c r="B173" s="121" t="s">
        <v>159</v>
      </c>
      <c r="C173" s="23">
        <v>1549.88</v>
      </c>
      <c r="D173" s="23">
        <v>1121.08</v>
      </c>
    </row>
    <row r="174" spans="2:4" x14ac:dyDescent="0.3">
      <c r="B174" s="121" t="s">
        <v>160</v>
      </c>
      <c r="C174" s="23">
        <v>2685.74</v>
      </c>
      <c r="D174" s="23">
        <v>2699.95</v>
      </c>
    </row>
    <row r="175" spans="2:4" x14ac:dyDescent="0.3">
      <c r="B175" s="121" t="s">
        <v>161</v>
      </c>
      <c r="C175" s="23">
        <v>1073.94</v>
      </c>
      <c r="D175" s="23">
        <v>1210.0899999999999</v>
      </c>
    </row>
    <row r="176" spans="2:4" x14ac:dyDescent="0.3">
      <c r="B176" s="121" t="s">
        <v>162</v>
      </c>
      <c r="C176">
        <v>369.91</v>
      </c>
      <c r="D176">
        <v>376.03</v>
      </c>
    </row>
    <row r="177" spans="2:4" x14ac:dyDescent="0.3">
      <c r="B177" s="121" t="s">
        <v>163</v>
      </c>
      <c r="C177" s="23">
        <v>1198.58</v>
      </c>
      <c r="D177" s="23">
        <v>1263.3699999999999</v>
      </c>
    </row>
    <row r="178" spans="2:4" x14ac:dyDescent="0.3">
      <c r="B178" s="121" t="s">
        <v>164</v>
      </c>
      <c r="C178">
        <v>44.21</v>
      </c>
      <c r="D178">
        <v>188.43</v>
      </c>
    </row>
    <row r="179" spans="2:4" x14ac:dyDescent="0.3">
      <c r="B179" s="121" t="s">
        <v>165</v>
      </c>
      <c r="C179" s="23">
        <v>9539.81</v>
      </c>
      <c r="D179" s="23">
        <v>9982.65</v>
      </c>
    </row>
    <row r="180" spans="2:4" x14ac:dyDescent="0.3">
      <c r="B180" s="121" t="s">
        <v>166</v>
      </c>
      <c r="C180" s="23">
        <v>640862.46</v>
      </c>
      <c r="D180" s="23">
        <v>726774.47</v>
      </c>
    </row>
    <row r="181" spans="2:4" x14ac:dyDescent="0.3">
      <c r="B181" s="121"/>
    </row>
    <row r="182" spans="2:4" x14ac:dyDescent="0.3">
      <c r="B182" s="121" t="s">
        <v>167</v>
      </c>
    </row>
    <row r="183" spans="2:4" x14ac:dyDescent="0.3">
      <c r="B183" s="121" t="s">
        <v>168</v>
      </c>
    </row>
    <row r="184" spans="2:4" x14ac:dyDescent="0.3">
      <c r="B184" s="121" t="s">
        <v>180</v>
      </c>
    </row>
    <row r="185" spans="2:4" x14ac:dyDescent="0.3">
      <c r="B185" s="121" t="s">
        <v>181</v>
      </c>
      <c r="C185" s="23">
        <v>3824.36</v>
      </c>
      <c r="D185" s="23">
        <v>5609.67</v>
      </c>
    </row>
    <row r="186" spans="2:4" x14ac:dyDescent="0.3">
      <c r="B186" s="121" t="s">
        <v>182</v>
      </c>
    </row>
    <row r="187" spans="2:4" x14ac:dyDescent="0.3">
      <c r="B187" s="121" t="s">
        <v>169</v>
      </c>
    </row>
    <row r="188" spans="2:4" x14ac:dyDescent="0.3">
      <c r="B188" s="121" t="s">
        <v>170</v>
      </c>
    </row>
    <row r="189" spans="2:4" x14ac:dyDescent="0.3">
      <c r="B189" s="121" t="s">
        <v>171</v>
      </c>
      <c r="C189">
        <v>9.52</v>
      </c>
      <c r="D189">
        <v>11.88</v>
      </c>
    </row>
    <row r="190" spans="2:4" x14ac:dyDescent="0.3">
      <c r="B190" s="121" t="s">
        <v>172</v>
      </c>
    </row>
    <row r="191" spans="2:4" x14ac:dyDescent="0.3">
      <c r="B191" s="121" t="s">
        <v>173</v>
      </c>
      <c r="C191">
        <v>334.65</v>
      </c>
      <c r="D191">
        <v>339.66</v>
      </c>
    </row>
    <row r="192" spans="2:4" x14ac:dyDescent="0.3">
      <c r="B192" s="121" t="s">
        <v>174</v>
      </c>
    </row>
    <row r="193" spans="2:4" x14ac:dyDescent="0.3">
      <c r="B193" s="121" t="s">
        <v>183</v>
      </c>
      <c r="C193" t="s">
        <v>31</v>
      </c>
      <c r="D193" t="s">
        <v>31</v>
      </c>
    </row>
    <row r="194" spans="2:4" x14ac:dyDescent="0.3">
      <c r="B194" s="121" t="s">
        <v>175</v>
      </c>
    </row>
    <row r="195" spans="2:4" x14ac:dyDescent="0.3">
      <c r="B195" s="121" t="s">
        <v>176</v>
      </c>
      <c r="C195" t="s">
        <v>31</v>
      </c>
      <c r="D195" t="s">
        <v>31</v>
      </c>
    </row>
    <row r="196" spans="2:4" x14ac:dyDescent="0.3">
      <c r="B196" s="121" t="s">
        <v>184</v>
      </c>
      <c r="C196" s="23">
        <v>195929.63</v>
      </c>
      <c r="D196" s="23">
        <v>253155.94</v>
      </c>
    </row>
    <row r="197" spans="2:4" x14ac:dyDescent="0.3">
      <c r="B197" s="121" t="s">
        <v>185</v>
      </c>
      <c r="C197" s="23">
        <v>139851.75</v>
      </c>
      <c r="D197" s="23">
        <v>159954.87</v>
      </c>
    </row>
    <row r="198" spans="2:4" x14ac:dyDescent="0.3">
      <c r="B198" s="121" t="s">
        <v>186</v>
      </c>
      <c r="C198" s="23">
        <v>160899.76</v>
      </c>
      <c r="D198" s="23">
        <v>152111.07</v>
      </c>
    </row>
    <row r="199" spans="2:4" x14ac:dyDescent="0.3">
      <c r="B199" s="121" t="s">
        <v>187</v>
      </c>
      <c r="C199" s="23">
        <v>3000</v>
      </c>
      <c r="D199" s="23">
        <v>3000</v>
      </c>
    </row>
    <row r="200" spans="2:4" x14ac:dyDescent="0.3">
      <c r="B200" s="121" t="s">
        <v>188</v>
      </c>
      <c r="C200" s="23">
        <v>14527.69</v>
      </c>
      <c r="D200" s="23">
        <v>16491.919999999998</v>
      </c>
    </row>
    <row r="201" spans="2:4" x14ac:dyDescent="0.3">
      <c r="B201" s="121" t="s">
        <v>189</v>
      </c>
      <c r="C201" s="23">
        <v>518377.36</v>
      </c>
      <c r="D201" s="23">
        <v>590675.01</v>
      </c>
    </row>
    <row r="202" spans="2:4" x14ac:dyDescent="0.3">
      <c r="B202" s="121" t="s">
        <v>177</v>
      </c>
    </row>
    <row r="203" spans="2:4" x14ac:dyDescent="0.3">
      <c r="B203" s="121" t="s">
        <v>190</v>
      </c>
      <c r="C203">
        <v>441.3</v>
      </c>
      <c r="D203">
        <v>542.47</v>
      </c>
    </row>
    <row r="204" spans="2:4" x14ac:dyDescent="0.3">
      <c r="B204" s="121" t="s">
        <v>191</v>
      </c>
      <c r="C204">
        <v>270.02</v>
      </c>
      <c r="D204">
        <v>270.24</v>
      </c>
    </row>
    <row r="205" spans="2:4" x14ac:dyDescent="0.3">
      <c r="B205" s="121" t="s">
        <v>192</v>
      </c>
      <c r="C205" s="23">
        <v>1522.78</v>
      </c>
      <c r="D205" s="23">
        <v>1302.01</v>
      </c>
    </row>
    <row r="206" spans="2:4" x14ac:dyDescent="0.3">
      <c r="B206" s="121" t="s">
        <v>193</v>
      </c>
      <c r="C206" s="23">
        <v>2234.1</v>
      </c>
      <c r="D206" s="23">
        <v>2114.7199999999998</v>
      </c>
    </row>
    <row r="207" spans="2:4" x14ac:dyDescent="0.3">
      <c r="B207" s="121" t="s">
        <v>194</v>
      </c>
      <c r="C207" s="23">
        <v>520611.46</v>
      </c>
      <c r="D207" s="23">
        <v>592789.73</v>
      </c>
    </row>
    <row r="208" spans="2:4" x14ac:dyDescent="0.3">
      <c r="B208" s="121" t="s">
        <v>178</v>
      </c>
    </row>
    <row r="209" spans="2:6" x14ac:dyDescent="0.3">
      <c r="B209" s="121" t="s">
        <v>195</v>
      </c>
      <c r="C209">
        <v>362.61</v>
      </c>
      <c r="D209">
        <v>366.91</v>
      </c>
    </row>
    <row r="210" spans="2:6" x14ac:dyDescent="0.3">
      <c r="B210" s="121" t="s">
        <v>196</v>
      </c>
      <c r="C210" s="23">
        <v>119888.39</v>
      </c>
      <c r="D210" s="23">
        <v>133617.82999999999</v>
      </c>
    </row>
    <row r="211" spans="2:6" x14ac:dyDescent="0.3">
      <c r="B211" s="121" t="s">
        <v>197</v>
      </c>
      <c r="C211" s="23">
        <v>120251</v>
      </c>
      <c r="D211" s="23">
        <v>133984.74</v>
      </c>
    </row>
    <row r="212" spans="2:6" x14ac:dyDescent="0.3">
      <c r="B212" s="121" t="s">
        <v>198</v>
      </c>
      <c r="C212" s="23">
        <v>640862.46</v>
      </c>
      <c r="D212" s="23">
        <v>726774.47</v>
      </c>
    </row>
    <row r="214" spans="2:6" x14ac:dyDescent="0.3">
      <c r="B214" s="111" t="s">
        <v>86</v>
      </c>
      <c r="C214" s="111"/>
      <c r="D214" s="111"/>
      <c r="E214" s="111"/>
      <c r="F214" s="111"/>
    </row>
    <row r="216" spans="2:6" x14ac:dyDescent="0.3">
      <c r="B216" t="s">
        <v>146</v>
      </c>
      <c r="C216" s="124" t="s">
        <v>108</v>
      </c>
      <c r="D216" s="124" t="s">
        <v>107</v>
      </c>
    </row>
    <row r="217" spans="2:6" x14ac:dyDescent="0.3">
      <c r="B217" s="121" t="s">
        <v>199</v>
      </c>
    </row>
    <row r="218" spans="2:6" x14ac:dyDescent="0.3">
      <c r="B218" s="121" t="s">
        <v>200</v>
      </c>
      <c r="C218" s="23">
        <v>17246.310000000001</v>
      </c>
      <c r="D218" s="23">
        <v>20014.04</v>
      </c>
    </row>
    <row r="219" spans="2:6" x14ac:dyDescent="0.3">
      <c r="B219" s="121" t="s">
        <v>47</v>
      </c>
    </row>
    <row r="220" spans="2:6" x14ac:dyDescent="0.3">
      <c r="B220" s="121" t="s">
        <v>201</v>
      </c>
      <c r="C220">
        <v>172.29</v>
      </c>
      <c r="D220">
        <v>275.86</v>
      </c>
    </row>
    <row r="221" spans="2:6" x14ac:dyDescent="0.3">
      <c r="B221" s="121" t="s">
        <v>202</v>
      </c>
      <c r="C221" s="23">
        <v>1932</v>
      </c>
      <c r="D221" s="23">
        <v>1795</v>
      </c>
    </row>
    <row r="222" spans="2:6" x14ac:dyDescent="0.3">
      <c r="B222" s="121" t="s">
        <v>203</v>
      </c>
      <c r="C222">
        <v>390.24</v>
      </c>
      <c r="D222">
        <v>204.81</v>
      </c>
    </row>
    <row r="223" spans="2:6" x14ac:dyDescent="0.3">
      <c r="B223" s="121" t="s">
        <v>204</v>
      </c>
      <c r="C223">
        <v>-938.47</v>
      </c>
      <c r="D223">
        <v>-362.1</v>
      </c>
    </row>
    <row r="224" spans="2:6" x14ac:dyDescent="0.3">
      <c r="B224" s="121" t="s">
        <v>205</v>
      </c>
      <c r="C224" s="23">
        <v>26476.16</v>
      </c>
      <c r="D224" s="23">
        <v>35703.56</v>
      </c>
    </row>
    <row r="225" spans="2:4" x14ac:dyDescent="0.3">
      <c r="B225" s="121" t="s">
        <v>206</v>
      </c>
      <c r="C225" s="23">
        <v>-43858.61</v>
      </c>
      <c r="D225" s="23">
        <v>-55242.42</v>
      </c>
    </row>
    <row r="226" spans="2:4" x14ac:dyDescent="0.3">
      <c r="B226" s="121" t="s">
        <v>207</v>
      </c>
      <c r="C226">
        <v>-259.29000000000002</v>
      </c>
      <c r="D226">
        <v>-188.84</v>
      </c>
    </row>
    <row r="227" spans="2:4" x14ac:dyDescent="0.3">
      <c r="B227" s="121" t="s">
        <v>208</v>
      </c>
      <c r="C227">
        <v>-0.24</v>
      </c>
      <c r="D227">
        <v>-14.6</v>
      </c>
    </row>
    <row r="228" spans="2:4" x14ac:dyDescent="0.3">
      <c r="B228" s="121" t="s">
        <v>209</v>
      </c>
      <c r="C228">
        <v>-606.5</v>
      </c>
      <c r="D228">
        <v>-676.21</v>
      </c>
    </row>
    <row r="229" spans="2:4" x14ac:dyDescent="0.3">
      <c r="B229" s="121" t="s">
        <v>210</v>
      </c>
      <c r="C229">
        <v>-0.04</v>
      </c>
      <c r="D229">
        <v>-0.03</v>
      </c>
    </row>
    <row r="230" spans="2:4" x14ac:dyDescent="0.3">
      <c r="B230" s="121" t="s">
        <v>211</v>
      </c>
      <c r="C230">
        <v>553.85</v>
      </c>
      <c r="D230" s="23">
        <v>1509.07</v>
      </c>
    </row>
    <row r="231" spans="2:4" x14ac:dyDescent="0.3">
      <c r="B231" s="121" t="s">
        <v>212</v>
      </c>
      <c r="C231" s="23">
        <v>-1363.08</v>
      </c>
      <c r="D231" s="23">
        <v>-2022.59</v>
      </c>
    </row>
    <row r="232" spans="2:4" x14ac:dyDescent="0.3">
      <c r="B232" s="121" t="s">
        <v>213</v>
      </c>
      <c r="C232">
        <v>719.14</v>
      </c>
      <c r="D232">
        <v>-557.25</v>
      </c>
    </row>
    <row r="233" spans="2:4" x14ac:dyDescent="0.3">
      <c r="B233" s="121" t="s">
        <v>214</v>
      </c>
      <c r="C233">
        <v>-90.09</v>
      </c>
      <c r="D233" s="23">
        <v>-1070.77</v>
      </c>
    </row>
    <row r="234" spans="2:4" x14ac:dyDescent="0.3">
      <c r="B234" s="121" t="s">
        <v>215</v>
      </c>
      <c r="C234" s="23">
        <v>44192.26</v>
      </c>
      <c r="D234" s="23">
        <v>53370.27</v>
      </c>
    </row>
    <row r="235" spans="2:4" x14ac:dyDescent="0.3">
      <c r="B235" s="121" t="s">
        <v>216</v>
      </c>
      <c r="C235" s="23">
        <v>-26450.14</v>
      </c>
      <c r="D235" s="23">
        <v>-33596.47</v>
      </c>
    </row>
    <row r="236" spans="2:4" x14ac:dyDescent="0.3">
      <c r="B236" s="121" t="s">
        <v>217</v>
      </c>
      <c r="C236" s="23">
        <v>-3700.19</v>
      </c>
      <c r="D236" s="23">
        <v>-3741.38</v>
      </c>
    </row>
    <row r="237" spans="2:4" x14ac:dyDescent="0.3">
      <c r="B237" s="121" t="s">
        <v>218</v>
      </c>
      <c r="C237" s="23">
        <v>13951.84</v>
      </c>
      <c r="D237" s="23">
        <v>14961.65</v>
      </c>
    </row>
    <row r="238" spans="2:4" x14ac:dyDescent="0.3">
      <c r="B238" s="121" t="s">
        <v>219</v>
      </c>
      <c r="C238" s="23">
        <v>-72477.05</v>
      </c>
      <c r="D238" s="23">
        <v>-53915.09</v>
      </c>
    </row>
    <row r="239" spans="2:4" x14ac:dyDescent="0.3">
      <c r="B239" s="121" t="s">
        <v>220</v>
      </c>
      <c r="C239" s="23">
        <v>14115.44</v>
      </c>
      <c r="D239" s="23">
        <v>-2670</v>
      </c>
    </row>
    <row r="240" spans="2:4" x14ac:dyDescent="0.3">
      <c r="B240" s="121" t="s">
        <v>221</v>
      </c>
      <c r="C240" s="23">
        <v>-44409.77</v>
      </c>
      <c r="D240" s="23">
        <v>-41623.440000000002</v>
      </c>
    </row>
    <row r="241" spans="2:4" x14ac:dyDescent="0.3">
      <c r="B241" s="121"/>
    </row>
    <row r="242" spans="2:4" x14ac:dyDescent="0.3">
      <c r="B242" s="121" t="s">
        <v>222</v>
      </c>
    </row>
    <row r="243" spans="2:4" x14ac:dyDescent="0.3">
      <c r="B243" s="121" t="s">
        <v>225</v>
      </c>
      <c r="C243">
        <v>-115.28</v>
      </c>
      <c r="D243">
        <v>-191.81</v>
      </c>
    </row>
    <row r="244" spans="2:4" x14ac:dyDescent="0.3">
      <c r="B244" s="121" t="s">
        <v>226</v>
      </c>
      <c r="C244">
        <v>0.62</v>
      </c>
      <c r="D244">
        <v>30.99</v>
      </c>
    </row>
    <row r="245" spans="2:4" x14ac:dyDescent="0.3">
      <c r="B245" s="121" t="s">
        <v>227</v>
      </c>
      <c r="C245">
        <v>-114.66</v>
      </c>
      <c r="D245">
        <v>-160.82</v>
      </c>
    </row>
    <row r="246" spans="2:4" x14ac:dyDescent="0.3">
      <c r="B246" s="121" t="s">
        <v>228</v>
      </c>
      <c r="C246" s="23">
        <v>-1559.54</v>
      </c>
      <c r="D246">
        <v>-220.36</v>
      </c>
    </row>
    <row r="247" spans="2:4" x14ac:dyDescent="0.3">
      <c r="B247" s="121" t="s">
        <v>229</v>
      </c>
      <c r="C247">
        <v>180.72</v>
      </c>
      <c r="D247">
        <v>34.880000000000003</v>
      </c>
    </row>
    <row r="248" spans="2:4" x14ac:dyDescent="0.3">
      <c r="B248" s="121" t="s">
        <v>230</v>
      </c>
      <c r="C248" s="23">
        <v>-1378.82</v>
      </c>
      <c r="D248">
        <v>-185.48</v>
      </c>
    </row>
    <row r="249" spans="2:4" x14ac:dyDescent="0.3">
      <c r="B249" s="121" t="s">
        <v>223</v>
      </c>
    </row>
    <row r="250" spans="2:4" x14ac:dyDescent="0.3">
      <c r="B250" s="121" t="s">
        <v>231</v>
      </c>
      <c r="C250">
        <v>-46.44</v>
      </c>
      <c r="D250" s="23">
        <v>-2943.71</v>
      </c>
    </row>
    <row r="251" spans="2:4" x14ac:dyDescent="0.3">
      <c r="B251" s="121" t="s">
        <v>232</v>
      </c>
      <c r="C251">
        <v>-0.25</v>
      </c>
      <c r="D251" t="s">
        <v>31</v>
      </c>
    </row>
    <row r="252" spans="2:4" x14ac:dyDescent="0.3">
      <c r="B252" s="121" t="s">
        <v>224</v>
      </c>
    </row>
    <row r="253" spans="2:4" x14ac:dyDescent="0.3">
      <c r="B253" s="121" t="s">
        <v>233</v>
      </c>
      <c r="C253" s="23">
        <v>-19532.68</v>
      </c>
      <c r="D253" s="23">
        <v>-27954.19</v>
      </c>
    </row>
    <row r="254" spans="2:4" x14ac:dyDescent="0.3">
      <c r="B254" s="121" t="s">
        <v>234</v>
      </c>
      <c r="C254" s="23">
        <v>6290.35</v>
      </c>
      <c r="D254" s="23">
        <v>4350.38</v>
      </c>
    </row>
    <row r="255" spans="2:4" x14ac:dyDescent="0.3">
      <c r="B255" s="121" t="s">
        <v>235</v>
      </c>
      <c r="C255">
        <v>210.62</v>
      </c>
      <c r="D255" t="s">
        <v>31</v>
      </c>
    </row>
    <row r="256" spans="2:4" x14ac:dyDescent="0.3">
      <c r="B256" s="121" t="s">
        <v>236</v>
      </c>
      <c r="C256" s="23">
        <v>-14571.88</v>
      </c>
      <c r="D256" s="23">
        <v>-26893.82</v>
      </c>
    </row>
    <row r="257" spans="2:4" x14ac:dyDescent="0.3">
      <c r="B257" s="121"/>
    </row>
    <row r="258" spans="2:4" x14ac:dyDescent="0.3">
      <c r="B258" s="121" t="s">
        <v>237</v>
      </c>
    </row>
    <row r="259" spans="2:4" x14ac:dyDescent="0.3">
      <c r="B259" s="121" t="s">
        <v>239</v>
      </c>
      <c r="C259">
        <v>1.82</v>
      </c>
      <c r="D259">
        <v>4.3</v>
      </c>
    </row>
    <row r="260" spans="2:4" x14ac:dyDescent="0.3">
      <c r="B260" s="121" t="s">
        <v>240</v>
      </c>
      <c r="C260">
        <v>0</v>
      </c>
      <c r="D260">
        <v>0.13</v>
      </c>
    </row>
    <row r="261" spans="2:4" x14ac:dyDescent="0.3">
      <c r="B261" s="121" t="s">
        <v>241</v>
      </c>
      <c r="C261" s="23">
        <v>1452.94</v>
      </c>
      <c r="D261" s="23">
        <v>3513.99</v>
      </c>
    </row>
    <row r="262" spans="2:4" x14ac:dyDescent="0.3">
      <c r="B262" s="121" t="s">
        <v>242</v>
      </c>
      <c r="C262">
        <v>236.45</v>
      </c>
      <c r="D262">
        <v>221.55</v>
      </c>
    </row>
    <row r="263" spans="2:4" x14ac:dyDescent="0.3">
      <c r="B263" s="121" t="s">
        <v>243</v>
      </c>
      <c r="C263" s="23">
        <v>103707</v>
      </c>
      <c r="D263" s="23">
        <v>172665.54</v>
      </c>
    </row>
    <row r="264" spans="2:4" x14ac:dyDescent="0.3">
      <c r="B264" s="121" t="s">
        <v>244</v>
      </c>
      <c r="C264" s="23">
        <v>-87935.9</v>
      </c>
      <c r="D264" s="23">
        <v>-113724.2</v>
      </c>
    </row>
    <row r="265" spans="2:4" x14ac:dyDescent="0.3">
      <c r="B265" s="121" t="s">
        <v>245</v>
      </c>
      <c r="C265" s="23">
        <v>34686.089999999997</v>
      </c>
      <c r="D265" s="23">
        <v>20172.22</v>
      </c>
    </row>
    <row r="266" spans="2:4" x14ac:dyDescent="0.3">
      <c r="B266" s="121" t="s">
        <v>246</v>
      </c>
      <c r="C266" s="23">
        <v>10851.42</v>
      </c>
      <c r="D266" s="23">
        <v>-8676.9699999999993</v>
      </c>
    </row>
    <row r="267" spans="2:4" x14ac:dyDescent="0.3">
      <c r="B267" s="121" t="s">
        <v>255</v>
      </c>
      <c r="C267">
        <v>-70</v>
      </c>
      <c r="D267">
        <v>-80.849999999999994</v>
      </c>
    </row>
    <row r="268" spans="2:4" x14ac:dyDescent="0.3">
      <c r="B268" s="121" t="s">
        <v>256</v>
      </c>
      <c r="C268" s="23">
        <v>-4152.6499999999996</v>
      </c>
      <c r="D268" s="23">
        <v>-5442.7</v>
      </c>
    </row>
    <row r="269" spans="2:4" x14ac:dyDescent="0.3">
      <c r="B269" s="121" t="s">
        <v>254</v>
      </c>
      <c r="C269" s="23">
        <v>58777.17</v>
      </c>
      <c r="D269" s="23">
        <v>68653.009999999995</v>
      </c>
    </row>
    <row r="270" spans="2:4" x14ac:dyDescent="0.3">
      <c r="B270" s="121" t="s">
        <v>253</v>
      </c>
      <c r="C270">
        <v>-204.48</v>
      </c>
      <c r="D270">
        <v>135.75</v>
      </c>
    </row>
    <row r="271" spans="2:4" x14ac:dyDescent="0.3">
      <c r="B271" s="121" t="s">
        <v>252</v>
      </c>
      <c r="C271">
        <v>769.97</v>
      </c>
      <c r="D271">
        <v>565.49</v>
      </c>
    </row>
    <row r="272" spans="2:4" x14ac:dyDescent="0.3">
      <c r="B272" s="121" t="s">
        <v>251</v>
      </c>
      <c r="C272">
        <v>565.49</v>
      </c>
      <c r="D272">
        <v>701.24</v>
      </c>
    </row>
    <row r="273" spans="2:4" x14ac:dyDescent="0.3">
      <c r="B273" s="121" t="s">
        <v>238</v>
      </c>
    </row>
    <row r="274" spans="2:4" x14ac:dyDescent="0.3">
      <c r="B274" s="121" t="s">
        <v>250</v>
      </c>
      <c r="C274">
        <v>0.59</v>
      </c>
      <c r="D274">
        <v>0.03</v>
      </c>
    </row>
    <row r="275" spans="2:4" x14ac:dyDescent="0.3">
      <c r="B275" s="121" t="s">
        <v>249</v>
      </c>
      <c r="C275">
        <v>31.53</v>
      </c>
      <c r="D275">
        <v>576.34</v>
      </c>
    </row>
    <row r="276" spans="2:4" x14ac:dyDescent="0.3">
      <c r="B276" s="121" t="s">
        <v>248</v>
      </c>
      <c r="C276">
        <v>500.03</v>
      </c>
      <c r="D276" t="s">
        <v>31</v>
      </c>
    </row>
    <row r="277" spans="2:4" x14ac:dyDescent="0.3">
      <c r="B277" s="121" t="s">
        <v>247</v>
      </c>
      <c r="C277">
        <v>33.340000000000003</v>
      </c>
      <c r="D277">
        <v>124.87</v>
      </c>
    </row>
    <row r="278" spans="2:4" x14ac:dyDescent="0.3">
      <c r="B278" s="121" t="s">
        <v>22</v>
      </c>
      <c r="C278">
        <v>565.49</v>
      </c>
      <c r="D278">
        <v>701.24</v>
      </c>
    </row>
  </sheetData>
  <mergeCells count="8">
    <mergeCell ref="B156:F156"/>
    <mergeCell ref="B214:F214"/>
    <mergeCell ref="B1:F1"/>
    <mergeCell ref="B3:F3"/>
    <mergeCell ref="B38:F38"/>
    <mergeCell ref="B61:F61"/>
    <mergeCell ref="B110:F110"/>
    <mergeCell ref="B112:F112"/>
  </mergeCells>
  <pageMargins left="0.7" right="0.7" top="0.75" bottom="0.75" header="0.3" footer="0.3"/>
  <ignoredErrors>
    <ignoredError sqref="I51 I55 J51:J5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969C-1D16-4D4E-92A1-B4533A4B3D78}">
  <dimension ref="B2:M105"/>
  <sheetViews>
    <sheetView showGridLines="0" workbookViewId="0">
      <pane ySplit="4" topLeftCell="A37" activePane="bottomLeft" state="frozen"/>
      <selection pane="bottomLeft" activeCell="C53" sqref="C53:E55"/>
    </sheetView>
  </sheetViews>
  <sheetFormatPr defaultRowHeight="14.4" x14ac:dyDescent="0.3"/>
  <cols>
    <col min="1" max="1" width="15.5546875" customWidth="1"/>
    <col min="2" max="2" width="1.88671875" customWidth="1"/>
    <col min="3" max="3" width="52.77734375" bestFit="1" customWidth="1"/>
    <col min="4" max="4" width="10.6640625" bestFit="1" customWidth="1"/>
    <col min="5" max="6" width="10.44140625" bestFit="1" customWidth="1"/>
    <col min="7" max="7" width="8.33203125" bestFit="1" customWidth="1"/>
    <col min="9" max="13" width="8.109375" bestFit="1" customWidth="1"/>
  </cols>
  <sheetData>
    <row r="2" spans="2:13" x14ac:dyDescent="0.3">
      <c r="C2" s="61" t="str">
        <f>"Pre Merger Financial Statements - HDFC Ltd"</f>
        <v>Pre Merger Financial Statements - HDFC Ltd</v>
      </c>
      <c r="D2" s="61"/>
      <c r="E2" s="61"/>
      <c r="F2" s="35"/>
      <c r="G2" s="35"/>
      <c r="H2" s="35"/>
      <c r="I2" s="35"/>
      <c r="J2" s="35"/>
      <c r="K2" s="35"/>
      <c r="L2" s="35"/>
      <c r="M2" s="35"/>
    </row>
    <row r="3" spans="2:13" x14ac:dyDescent="0.3">
      <c r="C3" s="3" t="s">
        <v>87</v>
      </c>
      <c r="D3" s="36">
        <f>'[1]Data Sheet'!H56</f>
        <v>44651</v>
      </c>
      <c r="E3" s="36">
        <f>'[1]Data Sheet'!I56</f>
        <v>45016</v>
      </c>
      <c r="F3" s="31">
        <f>'[1]Data Sheet'!J56</f>
        <v>45382</v>
      </c>
      <c r="G3" s="31">
        <f>'[1]Data Sheet'!K56</f>
        <v>45747</v>
      </c>
      <c r="H3" s="31"/>
      <c r="I3" s="32">
        <f>G3+365</f>
        <v>46112</v>
      </c>
      <c r="J3" s="32">
        <f>I3+365</f>
        <v>46477</v>
      </c>
      <c r="K3" s="32">
        <f>J3+365</f>
        <v>46842</v>
      </c>
      <c r="L3" s="32">
        <f>K3+365</f>
        <v>47207</v>
      </c>
      <c r="M3" s="32">
        <f>L3+365</f>
        <v>47572</v>
      </c>
    </row>
    <row r="4" spans="2:13" x14ac:dyDescent="0.3">
      <c r="C4" s="3"/>
      <c r="D4" s="3">
        <v>1</v>
      </c>
      <c r="E4" s="3">
        <v>2</v>
      </c>
      <c r="F4" s="33">
        <v>3</v>
      </c>
      <c r="G4" s="33">
        <v>4</v>
      </c>
      <c r="H4" s="33"/>
      <c r="I4" s="33">
        <v>5</v>
      </c>
      <c r="J4" s="33">
        <v>6</v>
      </c>
      <c r="K4" s="33">
        <v>7</v>
      </c>
      <c r="L4" s="33">
        <v>8</v>
      </c>
      <c r="M4" s="33">
        <v>9</v>
      </c>
    </row>
    <row r="5" spans="2:13" x14ac:dyDescent="0.3">
      <c r="B5" s="5" t="s">
        <v>88</v>
      </c>
      <c r="C5" s="4" t="s">
        <v>89</v>
      </c>
      <c r="D5" s="4"/>
      <c r="E5" s="4"/>
      <c r="F5" s="6"/>
      <c r="G5" s="6"/>
      <c r="H5" s="6"/>
      <c r="I5" s="6"/>
      <c r="J5" s="6"/>
      <c r="K5" s="6"/>
      <c r="L5" s="6"/>
      <c r="M5" s="6"/>
    </row>
    <row r="6" spans="2:13" x14ac:dyDescent="0.3">
      <c r="C6" s="6" t="s">
        <v>19</v>
      </c>
    </row>
    <row r="7" spans="2:13" x14ac:dyDescent="0.3">
      <c r="C7" t="s">
        <v>20</v>
      </c>
      <c r="D7" s="12">
        <f>'Financials Raw Data'!C116</f>
        <v>43297.21</v>
      </c>
      <c r="E7" s="12">
        <f>'Financials Raw Data'!D116</f>
        <v>54997.31</v>
      </c>
    </row>
    <row r="8" spans="2:13" ht="16.2" x14ac:dyDescent="0.3">
      <c r="C8" s="7" t="s">
        <v>90</v>
      </c>
      <c r="D8" s="13">
        <f>'Financials Raw Data'!C128</f>
        <v>26739.21</v>
      </c>
      <c r="E8" s="13">
        <f>'Financials Raw Data'!D128</f>
        <v>35994.74</v>
      </c>
      <c r="F8" s="34"/>
      <c r="G8" s="34"/>
      <c r="H8" s="34"/>
      <c r="I8" s="34"/>
      <c r="J8" s="34"/>
      <c r="K8" s="34"/>
      <c r="L8" s="34"/>
      <c r="M8" s="34"/>
    </row>
    <row r="9" spans="2:13" ht="16.2" x14ac:dyDescent="0.3">
      <c r="C9" s="7" t="s">
        <v>91</v>
      </c>
      <c r="D9" s="13">
        <f>D7-D8</f>
        <v>16558</v>
      </c>
      <c r="E9" s="13">
        <f>E7-E8</f>
        <v>19002.57</v>
      </c>
      <c r="F9" s="34"/>
      <c r="G9" s="34"/>
      <c r="H9" s="34"/>
      <c r="I9" s="34"/>
      <c r="J9" s="34"/>
      <c r="K9" s="34"/>
      <c r="L9" s="34"/>
      <c r="M9" s="34"/>
    </row>
    <row r="10" spans="2:13" ht="16.2" x14ac:dyDescent="0.3">
      <c r="C10" t="s">
        <v>92</v>
      </c>
      <c r="D10" s="12">
        <f>SUM('Financials Raw Data'!C117:C123,'Financials Raw Data'!C125)</f>
        <v>4692.99</v>
      </c>
      <c r="E10" s="12">
        <f>SUM('Financials Raw Data'!D117:D123,'Financials Raw Data'!D125)</f>
        <v>5226.34</v>
      </c>
    </row>
    <row r="11" spans="2:13" ht="16.2" x14ac:dyDescent="0.3">
      <c r="C11" s="8" t="s">
        <v>93</v>
      </c>
      <c r="D11" s="24">
        <f>SUM(D9:D10)</f>
        <v>21250.989999999998</v>
      </c>
      <c r="E11" s="24">
        <f>SUM(E9:E10)</f>
        <v>24228.91</v>
      </c>
      <c r="F11" s="34"/>
      <c r="G11" s="34"/>
      <c r="H11" s="34"/>
      <c r="I11" s="34"/>
      <c r="J11" s="34"/>
      <c r="K11" s="34"/>
      <c r="L11" s="34"/>
      <c r="M11" s="34"/>
    </row>
    <row r="12" spans="2:13" x14ac:dyDescent="0.3">
      <c r="C12" s="9" t="s">
        <v>22</v>
      </c>
      <c r="D12" s="26">
        <f>SUM(D7:D10)</f>
        <v>91287.41</v>
      </c>
      <c r="E12" s="26">
        <f>SUM(E7:E10)</f>
        <v>115220.95999999999</v>
      </c>
    </row>
    <row r="14" spans="2:13" x14ac:dyDescent="0.3">
      <c r="C14" s="6" t="s">
        <v>23</v>
      </c>
    </row>
    <row r="15" spans="2:13" x14ac:dyDescent="0.3">
      <c r="C15" t="s">
        <v>24</v>
      </c>
      <c r="D15" s="12">
        <f>'Financials Raw Data'!C128</f>
        <v>26739.21</v>
      </c>
      <c r="E15" s="12">
        <f>'Financials Raw Data'!D128</f>
        <v>35994.74</v>
      </c>
    </row>
    <row r="16" spans="2:13" x14ac:dyDescent="0.3">
      <c r="C16" t="s">
        <v>25</v>
      </c>
      <c r="D16" s="12">
        <f>SUM('Financials Raw Data'!C130:C132)</f>
        <v>2072.6799999999998</v>
      </c>
      <c r="E16" s="12">
        <f>SUM('Financials Raw Data'!D130:D132)</f>
        <v>2419.87</v>
      </c>
    </row>
    <row r="17" spans="3:13" x14ac:dyDescent="0.3">
      <c r="C17" t="s">
        <v>26</v>
      </c>
      <c r="D17" s="12">
        <f>'Financials Raw Data'!C129</f>
        <v>1932</v>
      </c>
      <c r="E17" s="12">
        <f>'Financials Raw Data'!D129</f>
        <v>1795</v>
      </c>
    </row>
    <row r="18" spans="3:13" x14ac:dyDescent="0.3">
      <c r="C18" s="9" t="s">
        <v>15</v>
      </c>
      <c r="D18" s="26">
        <f>SUM(D15:D17)</f>
        <v>30743.89</v>
      </c>
      <c r="E18" s="26">
        <f>SUM(E15:E17)</f>
        <v>40209.61</v>
      </c>
    </row>
    <row r="19" spans="3:13" x14ac:dyDescent="0.3">
      <c r="C19" s="6"/>
      <c r="D19" s="12"/>
      <c r="E19" s="12"/>
    </row>
    <row r="20" spans="3:13" x14ac:dyDescent="0.3">
      <c r="C20" s="6" t="s">
        <v>27</v>
      </c>
      <c r="D20" s="12"/>
      <c r="E20" s="12"/>
    </row>
    <row r="21" spans="3:13" x14ac:dyDescent="0.3">
      <c r="C21" t="s">
        <v>28</v>
      </c>
      <c r="D21" s="12">
        <f>'Financials Raw Data'!C139</f>
        <v>13742.18</v>
      </c>
      <c r="E21" s="12">
        <f>'Financials Raw Data'!D139</f>
        <v>16239.36</v>
      </c>
    </row>
    <row r="22" spans="3:13" x14ac:dyDescent="0.3">
      <c r="C22" t="s">
        <v>29</v>
      </c>
      <c r="D22" s="12">
        <v>0</v>
      </c>
      <c r="E22" s="12">
        <v>0</v>
      </c>
    </row>
    <row r="23" spans="3:13" x14ac:dyDescent="0.3">
      <c r="C23" t="s">
        <v>30</v>
      </c>
      <c r="D23" s="12">
        <v>0</v>
      </c>
      <c r="E23" s="12">
        <v>0</v>
      </c>
    </row>
    <row r="24" spans="3:13" x14ac:dyDescent="0.3">
      <c r="C24" s="9" t="s">
        <v>7</v>
      </c>
      <c r="D24" s="26">
        <f>SUM(D21:D23)</f>
        <v>13742.18</v>
      </c>
      <c r="E24" s="26">
        <f>SUM(E21:E23)</f>
        <v>16239.36</v>
      </c>
    </row>
    <row r="25" spans="3:13" x14ac:dyDescent="0.3">
      <c r="C25" s="6"/>
      <c r="D25" s="12"/>
      <c r="E25" s="12"/>
    </row>
    <row r="26" spans="3:13" x14ac:dyDescent="0.3">
      <c r="C26" s="6" t="s">
        <v>94</v>
      </c>
      <c r="D26" s="12"/>
      <c r="E26" s="12"/>
    </row>
    <row r="27" spans="3:13" x14ac:dyDescent="0.3">
      <c r="C27" t="s">
        <v>95</v>
      </c>
      <c r="D27">
        <v>180.8</v>
      </c>
      <c r="E27" s="27">
        <v>181.96</v>
      </c>
    </row>
    <row r="28" spans="3:13" x14ac:dyDescent="0.3">
      <c r="C28" t="s">
        <v>96</v>
      </c>
      <c r="D28">
        <v>182.73</v>
      </c>
      <c r="E28">
        <v>183.54</v>
      </c>
    </row>
    <row r="29" spans="3:13" x14ac:dyDescent="0.3">
      <c r="C29" s="10" t="s">
        <v>42</v>
      </c>
      <c r="D29" s="10">
        <f>'Financials Raw Data'!C150</f>
        <v>76.010000000000005</v>
      </c>
      <c r="E29" s="10">
        <f>'Financials Raw Data'!D150</f>
        <v>89.24</v>
      </c>
      <c r="F29" s="6"/>
      <c r="G29" s="6"/>
      <c r="H29" s="6"/>
      <c r="I29" s="6"/>
      <c r="J29" s="6"/>
      <c r="K29" s="6"/>
      <c r="L29" s="6"/>
      <c r="M29" s="6"/>
    </row>
    <row r="30" spans="3:13" x14ac:dyDescent="0.3">
      <c r="C30" s="11" t="s">
        <v>43</v>
      </c>
      <c r="D30" s="11">
        <f>'Financials Raw Data'!C151</f>
        <v>75.2</v>
      </c>
      <c r="E30" s="11">
        <f>'Financials Raw Data'!D151</f>
        <v>88.48</v>
      </c>
      <c r="F30" s="6"/>
      <c r="G30" s="6"/>
      <c r="H30" s="6"/>
      <c r="I30" s="6"/>
      <c r="J30" s="6"/>
      <c r="K30" s="6"/>
      <c r="L30" s="6"/>
      <c r="M30" s="6"/>
    </row>
    <row r="33" spans="2:13" x14ac:dyDescent="0.3">
      <c r="B33" s="5" t="s">
        <v>88</v>
      </c>
      <c r="C33" s="4" t="s">
        <v>101</v>
      </c>
      <c r="D33" s="4"/>
      <c r="E33" s="4"/>
      <c r="F33" s="6"/>
      <c r="G33" s="6"/>
      <c r="H33" s="6"/>
      <c r="I33" s="6"/>
      <c r="J33" s="6"/>
      <c r="K33" s="6"/>
      <c r="L33" s="6"/>
      <c r="M33" s="6"/>
    </row>
    <row r="34" spans="2:13" x14ac:dyDescent="0.3">
      <c r="C34" s="6" t="s">
        <v>0</v>
      </c>
    </row>
    <row r="35" spans="2:13" x14ac:dyDescent="0.3">
      <c r="C35" t="s">
        <v>1</v>
      </c>
      <c r="D35">
        <f>'Financials Raw Data'!C209</f>
        <v>362.61</v>
      </c>
      <c r="E35">
        <f>'Financials Raw Data'!D209</f>
        <v>366.91</v>
      </c>
    </row>
    <row r="36" spans="2:13" x14ac:dyDescent="0.3">
      <c r="C36" t="s">
        <v>3</v>
      </c>
      <c r="D36" s="23">
        <f>'Financials Raw Data'!C210</f>
        <v>119888.39</v>
      </c>
      <c r="E36" s="23">
        <f>'Financials Raw Data'!D210</f>
        <v>133617.82999999999</v>
      </c>
    </row>
    <row r="37" spans="2:13" x14ac:dyDescent="0.3">
      <c r="C37" s="10" t="s">
        <v>102</v>
      </c>
      <c r="D37" s="10">
        <f>SUM(D35:D36)</f>
        <v>120251</v>
      </c>
      <c r="E37" s="10">
        <f>SUM(E35:E36)</f>
        <v>133984.74</v>
      </c>
      <c r="F37" s="6"/>
      <c r="G37" s="6"/>
      <c r="H37" s="6"/>
      <c r="I37" s="6"/>
      <c r="J37" s="6"/>
      <c r="K37" s="6"/>
      <c r="L37" s="6"/>
      <c r="M37" s="6"/>
    </row>
    <row r="38" spans="2:13" x14ac:dyDescent="0.3">
      <c r="C38" t="s">
        <v>4</v>
      </c>
      <c r="D38" s="23">
        <f>'Financials Raw Data'!C198</f>
        <v>160899.76</v>
      </c>
      <c r="E38" s="23">
        <f>'Financials Raw Data'!D198</f>
        <v>152111.07</v>
      </c>
    </row>
    <row r="39" spans="2:13" x14ac:dyDescent="0.3">
      <c r="C39" s="42" t="s">
        <v>268</v>
      </c>
      <c r="D39" s="43" t="s">
        <v>31</v>
      </c>
      <c r="E39" s="44">
        <f>E38/D38-1</f>
        <v>-5.4622144868332945E-2</v>
      </c>
    </row>
    <row r="40" spans="2:13" x14ac:dyDescent="0.3">
      <c r="C40" t="s">
        <v>5</v>
      </c>
      <c r="D40" s="23">
        <f>SUM('Financials Raw Data'!C196:C197,'Financials Raw Data'!C199)</f>
        <v>338781.38</v>
      </c>
      <c r="E40" s="23">
        <f>SUM('Financials Raw Data'!D196:D197,'Financials Raw Data'!D199)</f>
        <v>416110.81</v>
      </c>
    </row>
    <row r="41" spans="2:13" x14ac:dyDescent="0.3">
      <c r="C41" s="42" t="s">
        <v>269</v>
      </c>
      <c r="D41" s="43" t="s">
        <v>31</v>
      </c>
      <c r="E41" s="44">
        <f>E40/D40-1</f>
        <v>0.22825761557497648</v>
      </c>
    </row>
    <row r="42" spans="2:13" x14ac:dyDescent="0.3">
      <c r="C42" s="45" t="s">
        <v>270</v>
      </c>
      <c r="D42" s="46">
        <f>SUM(D38,D40)</f>
        <v>499681.14</v>
      </c>
      <c r="E42" s="46">
        <f>SUM(E38,E40)</f>
        <v>568221.88</v>
      </c>
    </row>
    <row r="43" spans="2:13" x14ac:dyDescent="0.3">
      <c r="C43" t="s">
        <v>6</v>
      </c>
      <c r="D43" s="23">
        <f>SUM('Financials Raw Data'!C200,'Financials Raw Data'!C206,'Financials Raw Data'!C185,'Financials Raw Data'!C189,'Financials Raw Data'!C191)</f>
        <v>20930.320000000003</v>
      </c>
      <c r="E43" s="23">
        <f>SUM('Financials Raw Data'!D200,'Financials Raw Data'!D206,'Financials Raw Data'!D185,'Financials Raw Data'!D189,'Financials Raw Data'!D191)</f>
        <v>24567.85</v>
      </c>
    </row>
    <row r="44" spans="2:13" x14ac:dyDescent="0.3">
      <c r="C44" s="9" t="s">
        <v>103</v>
      </c>
      <c r="D44" s="26">
        <f>SUM(D37:D38,D40,D43)</f>
        <v>640862.46</v>
      </c>
      <c r="E44" s="26">
        <f>SUM(E37:E38,E40,E43)</f>
        <v>726774.47</v>
      </c>
      <c r="F44" s="6"/>
      <c r="G44" s="6"/>
      <c r="H44" s="6"/>
      <c r="I44" s="6"/>
      <c r="J44" s="6"/>
      <c r="K44" s="6"/>
      <c r="L44" s="6"/>
      <c r="M44" s="6"/>
    </row>
    <row r="46" spans="2:13" x14ac:dyDescent="0.3">
      <c r="C46" s="6" t="s">
        <v>8</v>
      </c>
    </row>
    <row r="47" spans="2:13" x14ac:dyDescent="0.3">
      <c r="C47" s="28" t="s">
        <v>259</v>
      </c>
      <c r="D47">
        <f>SUM('Financials Raw Data'!C161:C162)</f>
        <v>792.93000000000006</v>
      </c>
      <c r="E47">
        <f>SUM('Financials Raw Data'!D161:D162)</f>
        <v>1217.5999999999999</v>
      </c>
    </row>
    <row r="48" spans="2:13" x14ac:dyDescent="0.3">
      <c r="C48" s="28" t="s">
        <v>257</v>
      </c>
      <c r="D48" s="23">
        <f>'Financials Raw Data'!C168</f>
        <v>68592.22</v>
      </c>
      <c r="E48" s="23">
        <f>'Financials Raw Data'!D168</f>
        <v>97718.05</v>
      </c>
      <c r="F48" s="23"/>
    </row>
    <row r="49" spans="2:13" x14ac:dyDescent="0.3">
      <c r="C49" t="s">
        <v>260</v>
      </c>
      <c r="D49" s="23">
        <f>'Financials Raw Data'!C167</f>
        <v>554862.51</v>
      </c>
      <c r="E49" s="23">
        <f>'Financials Raw Data'!D167</f>
        <v>608362.68000000005</v>
      </c>
    </row>
    <row r="50" spans="2:13" x14ac:dyDescent="0.3">
      <c r="C50" s="28" t="s">
        <v>258</v>
      </c>
      <c r="D50" s="23">
        <f>SUM('Financials Raw Data'!C163,'Financials Raw Data'!C165,'Financials Raw Data'!C169,'Financials Raw Data'!C179)</f>
        <v>16614.8</v>
      </c>
      <c r="E50" s="23">
        <f>SUM('Financials Raw Data'!D163,'Financials Raw Data'!D165,'Financials Raw Data'!D169,'Financials Raw Data'!D179)</f>
        <v>19476.14</v>
      </c>
    </row>
    <row r="51" spans="2:13" x14ac:dyDescent="0.3">
      <c r="C51" s="9" t="s">
        <v>104</v>
      </c>
      <c r="D51" s="26">
        <f>SUM(D47:D50)</f>
        <v>640862.46000000008</v>
      </c>
      <c r="E51" s="26">
        <f>SUM(E47:E50)</f>
        <v>726774.47000000009</v>
      </c>
      <c r="F51" s="6"/>
      <c r="G51" s="6"/>
      <c r="H51" s="6"/>
      <c r="I51" s="6"/>
      <c r="J51" s="6"/>
      <c r="K51" s="6"/>
      <c r="L51" s="6"/>
      <c r="M51" s="6"/>
    </row>
    <row r="53" spans="2:13" x14ac:dyDescent="0.3">
      <c r="B53" s="5"/>
      <c r="C53" s="125" t="s">
        <v>271</v>
      </c>
      <c r="D53" s="126">
        <f>D38/D42</f>
        <v>0.32200486894502361</v>
      </c>
      <c r="E53" s="126">
        <f>E38/E42</f>
        <v>0.26769660823338942</v>
      </c>
      <c r="F53" s="6"/>
      <c r="G53" s="6"/>
      <c r="H53" s="6"/>
      <c r="I53" s="6"/>
      <c r="J53" s="6"/>
      <c r="K53" s="6"/>
      <c r="L53" s="6"/>
      <c r="M53" s="6"/>
    </row>
    <row r="54" spans="2:13" x14ac:dyDescent="0.3">
      <c r="C54" s="125" t="s">
        <v>272</v>
      </c>
      <c r="D54" s="126">
        <f>D40/D42</f>
        <v>0.67799513105497633</v>
      </c>
      <c r="E54" s="126">
        <f>E40/E42</f>
        <v>0.73230339176661063</v>
      </c>
    </row>
    <row r="55" spans="2:13" x14ac:dyDescent="0.3">
      <c r="C55" s="125" t="s">
        <v>273</v>
      </c>
      <c r="D55" s="126">
        <f>D49/D38</f>
        <v>3.4484980586670857</v>
      </c>
      <c r="E55" s="126">
        <f>E49/E38</f>
        <v>3.9994635498915367</v>
      </c>
    </row>
    <row r="67" spans="3:3" x14ac:dyDescent="0.3">
      <c r="C67" s="1"/>
    </row>
    <row r="74" spans="3:3" x14ac:dyDescent="0.3">
      <c r="C74" s="1"/>
    </row>
    <row r="76" spans="3:3" x14ac:dyDescent="0.3">
      <c r="C76" s="6"/>
    </row>
    <row r="78" spans="3:3" x14ac:dyDescent="0.3">
      <c r="C78" s="6"/>
    </row>
    <row r="84" spans="3:3" x14ac:dyDescent="0.3">
      <c r="C84" s="6"/>
    </row>
    <row r="86" spans="3:3" x14ac:dyDescent="0.3">
      <c r="C86" s="6"/>
    </row>
    <row r="94" spans="3:3" x14ac:dyDescent="0.3">
      <c r="C94" s="6"/>
    </row>
    <row r="96" spans="3:3" x14ac:dyDescent="0.3">
      <c r="C96" s="6"/>
    </row>
    <row r="99" spans="3:3" x14ac:dyDescent="0.3">
      <c r="C99" s="6"/>
    </row>
    <row r="104" spans="3:3" x14ac:dyDescent="0.3">
      <c r="C104" s="29"/>
    </row>
    <row r="105" spans="3:3" x14ac:dyDescent="0.3">
      <c r="C105" s="30"/>
    </row>
  </sheetData>
  <mergeCells count="1">
    <mergeCell ref="C2:E2"/>
  </mergeCells>
  <pageMargins left="0.7" right="0.7" top="0.75" bottom="0.75" header="0.3" footer="0.3"/>
  <ignoredErrors>
    <ignoredError sqref="D16:E16 D47:E4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E5A98-7385-4081-85D6-1B6D2576F294}">
  <dimension ref="B2:N98"/>
  <sheetViews>
    <sheetView showGridLines="0" workbookViewId="0">
      <pane ySplit="4" topLeftCell="A39" activePane="bottomLeft" state="frozen"/>
      <selection pane="bottomLeft" activeCell="C52" sqref="C52:E54"/>
    </sheetView>
  </sheetViews>
  <sheetFormatPr defaultRowHeight="14.4" x14ac:dyDescent="0.3"/>
  <cols>
    <col min="1" max="1" width="15.44140625" customWidth="1"/>
    <col min="2" max="2" width="2.21875" customWidth="1"/>
    <col min="3" max="3" width="47.109375" bestFit="1" customWidth="1"/>
    <col min="4" max="7" width="15.5546875" bestFit="1" customWidth="1"/>
    <col min="9" max="13" width="15.5546875" bestFit="1" customWidth="1"/>
  </cols>
  <sheetData>
    <row r="2" spans="2:7" x14ac:dyDescent="0.3">
      <c r="C2" s="61" t="str">
        <f>"Pre-Merger Financial Statements - HDFC BANK Ltd."</f>
        <v>Pre-Merger Financial Statements - HDFC BANK Ltd.</v>
      </c>
      <c r="D2" s="61"/>
      <c r="E2" s="61"/>
      <c r="F2" s="35"/>
      <c r="G2" s="35"/>
    </row>
    <row r="3" spans="2:7" x14ac:dyDescent="0.3">
      <c r="C3" s="3" t="s">
        <v>87</v>
      </c>
      <c r="D3" s="36">
        <f>'[1]Data Sheet'!H56</f>
        <v>44651</v>
      </c>
      <c r="E3" s="36">
        <f>'[1]Data Sheet'!I56</f>
        <v>45016</v>
      </c>
    </row>
    <row r="4" spans="2:7" x14ac:dyDescent="0.3">
      <c r="C4" s="3"/>
      <c r="D4" s="3">
        <v>1</v>
      </c>
      <c r="E4" s="3">
        <v>2</v>
      </c>
    </row>
    <row r="5" spans="2:7" x14ac:dyDescent="0.3">
      <c r="B5" s="5" t="s">
        <v>88</v>
      </c>
      <c r="C5" s="4" t="s">
        <v>89</v>
      </c>
      <c r="D5" s="4"/>
      <c r="E5" s="4"/>
    </row>
    <row r="6" spans="2:7" x14ac:dyDescent="0.3">
      <c r="C6" s="6" t="s">
        <v>19</v>
      </c>
    </row>
    <row r="7" spans="2:7" x14ac:dyDescent="0.3">
      <c r="C7" t="s">
        <v>20</v>
      </c>
      <c r="D7" s="12">
        <f>IFERROR('Financials Raw Data'!C6/10000,0)</f>
        <v>127753.1191</v>
      </c>
      <c r="E7" s="12">
        <f>IFERROR('Financials Raw Data'!D6/10000,0)</f>
        <v>161585.5367</v>
      </c>
    </row>
    <row r="8" spans="2:7" ht="16.2" x14ac:dyDescent="0.3">
      <c r="C8" s="7" t="s">
        <v>90</v>
      </c>
      <c r="D8" s="13">
        <f>IFERROR('Financials Raw Data'!C10/10000,0)</f>
        <v>55743.528200000001</v>
      </c>
      <c r="E8" s="13">
        <f>IFERROR('Financials Raw Data'!D10/10000,0)</f>
        <v>74743.317299999995</v>
      </c>
    </row>
    <row r="9" spans="2:7" ht="16.2" x14ac:dyDescent="0.3">
      <c r="C9" s="7" t="s">
        <v>91</v>
      </c>
      <c r="D9" s="13">
        <f>D7-D8</f>
        <v>72009.590899999996</v>
      </c>
      <c r="E9" s="13">
        <f>E7-E8</f>
        <v>86842.219400000002</v>
      </c>
    </row>
    <row r="10" spans="2:7" ht="16.2" x14ac:dyDescent="0.3">
      <c r="C10" t="s">
        <v>92</v>
      </c>
      <c r="D10" s="12">
        <f>IFERROR('Financials Raw Data'!C7/10000,0)</f>
        <v>29509.900399999999</v>
      </c>
      <c r="E10" s="12">
        <f>IFERROR('Financials Raw Data'!D7/10000,0)</f>
        <v>31214.825099999998</v>
      </c>
    </row>
    <row r="11" spans="2:7" ht="16.2" x14ac:dyDescent="0.3">
      <c r="C11" s="8" t="s">
        <v>93</v>
      </c>
      <c r="D11" s="13">
        <f>SUM(D9:D10)</f>
        <v>101519.49129999999</v>
      </c>
      <c r="E11" s="13">
        <f>SUM(E9:E10)</f>
        <v>118057.0445</v>
      </c>
    </row>
    <row r="12" spans="2:7" x14ac:dyDescent="0.3">
      <c r="C12" s="9" t="s">
        <v>22</v>
      </c>
      <c r="D12" s="15">
        <f>SUM(D7:D10)</f>
        <v>285016.13860000001</v>
      </c>
      <c r="E12" s="15">
        <f>SUM(E7:E10)</f>
        <v>354385.89850000001</v>
      </c>
    </row>
    <row r="13" spans="2:7" x14ac:dyDescent="0.3">
      <c r="D13" s="12"/>
      <c r="E13" s="12"/>
    </row>
    <row r="14" spans="2:7" x14ac:dyDescent="0.3">
      <c r="C14" s="6" t="s">
        <v>23</v>
      </c>
      <c r="D14" s="12"/>
      <c r="E14" s="12"/>
    </row>
    <row r="15" spans="2:7" x14ac:dyDescent="0.3">
      <c r="C15" t="s">
        <v>24</v>
      </c>
      <c r="D15" s="12">
        <f>IFERROR('Financials Raw Data'!C10/10000,0)</f>
        <v>55743.528200000001</v>
      </c>
      <c r="E15" s="12">
        <f>IFERROR('Financials Raw Data'!D10/10000,0)</f>
        <v>74743.317299999995</v>
      </c>
    </row>
    <row r="16" spans="2:7" x14ac:dyDescent="0.3">
      <c r="C16" t="s">
        <v>25</v>
      </c>
      <c r="D16" s="12">
        <f>IFERROR('Financials Raw Data'!C11/10000,0)</f>
        <v>37442.185799999999</v>
      </c>
      <c r="E16" s="12">
        <f>IFERROR('Financials Raw Data'!D11/10000,0)</f>
        <v>47652.0844</v>
      </c>
    </row>
    <row r="17" spans="2:14" x14ac:dyDescent="0.3">
      <c r="C17" t="s">
        <v>26</v>
      </c>
      <c r="D17" s="12">
        <f>IFERROR('Financials Raw Data'!C12/10000,0)</f>
        <v>27115.9503</v>
      </c>
      <c r="E17" s="12">
        <f>IFERROR('Financials Raw Data'!D12/10000,0)</f>
        <v>26296.258699999998</v>
      </c>
    </row>
    <row r="18" spans="2:14" x14ac:dyDescent="0.3">
      <c r="C18" s="9" t="s">
        <v>15</v>
      </c>
      <c r="D18" s="15">
        <f>SUM(D15:D17)</f>
        <v>120301.6643</v>
      </c>
      <c r="E18" s="15">
        <f>SUM(E15:E17)</f>
        <v>148691.66039999999</v>
      </c>
    </row>
    <row r="19" spans="2:14" x14ac:dyDescent="0.3">
      <c r="C19" s="6"/>
      <c r="D19" s="12"/>
      <c r="E19" s="12"/>
    </row>
    <row r="20" spans="2:14" x14ac:dyDescent="0.3">
      <c r="C20" s="6" t="s">
        <v>27</v>
      </c>
      <c r="D20" s="12"/>
      <c r="E20" s="12"/>
    </row>
    <row r="21" spans="2:14" x14ac:dyDescent="0.3">
      <c r="C21" t="s">
        <v>28</v>
      </c>
      <c r="D21" s="12">
        <f>IFERROR('Financials Raw Data'!C15/10000,0)</f>
        <v>36961.355199999998</v>
      </c>
      <c r="E21" s="12">
        <f>IFERROR('Financials Raw Data'!D15/10000,0)</f>
        <v>44108.701399999998</v>
      </c>
    </row>
    <row r="22" spans="2:14" x14ac:dyDescent="0.3">
      <c r="C22" t="s">
        <v>29</v>
      </c>
      <c r="D22" s="12">
        <f>IFERROR('Financials Raw Data'!C16/10000,0)</f>
        <v>73652.794699999999</v>
      </c>
      <c r="E22" s="12">
        <f>IFERROR('Financials Raw Data'!D16/10000,0)</f>
        <v>93185.674299999999</v>
      </c>
    </row>
    <row r="23" spans="2:14" x14ac:dyDescent="0.3">
      <c r="C23" t="s">
        <v>30</v>
      </c>
      <c r="D23" s="12">
        <f>IFERROR('Financials Raw Data'!C17/10000,0)</f>
        <v>0</v>
      </c>
      <c r="E23" s="12">
        <f>IFERROR('Financials Raw Data'!D17/10000,0)</f>
        <v>0</v>
      </c>
    </row>
    <row r="24" spans="2:14" x14ac:dyDescent="0.3">
      <c r="C24" s="9" t="s">
        <v>7</v>
      </c>
      <c r="D24" s="15">
        <f>SUM(D21:D23)</f>
        <v>110614.14989999999</v>
      </c>
      <c r="E24" s="15">
        <f>SUM(E21:E23)</f>
        <v>137294.3757</v>
      </c>
      <c r="N24" s="17"/>
    </row>
    <row r="25" spans="2:14" x14ac:dyDescent="0.3">
      <c r="C25" s="6"/>
      <c r="D25" s="12"/>
      <c r="E25" s="12"/>
    </row>
    <row r="26" spans="2:14" x14ac:dyDescent="0.3">
      <c r="C26" s="6" t="s">
        <v>94</v>
      </c>
      <c r="D26" s="12"/>
      <c r="E26" s="12"/>
    </row>
    <row r="27" spans="2:14" x14ac:dyDescent="0.3">
      <c r="C27" t="s">
        <v>95</v>
      </c>
      <c r="D27" s="12">
        <f>IFERROR('Financials Raw Data'!C34/10000000,0)</f>
        <v>553.32035659999997</v>
      </c>
      <c r="E27" s="12">
        <f>IFERROR('Financials Raw Data'!D34/10000000,0)</f>
        <v>556.57142650000003</v>
      </c>
    </row>
    <row r="28" spans="2:14" x14ac:dyDescent="0.3">
      <c r="C28" t="s">
        <v>96</v>
      </c>
      <c r="D28" s="12">
        <f>IFERROR('Financials Raw Data'!C36/10000000,0)</f>
        <v>557.09339850000003</v>
      </c>
      <c r="E28" s="12">
        <f>IFERROR('Financials Raw Data'!D36/10000000,0)</f>
        <v>559.11836559999995</v>
      </c>
    </row>
    <row r="29" spans="2:14" x14ac:dyDescent="0.3">
      <c r="C29" s="10" t="s">
        <v>42</v>
      </c>
      <c r="D29" s="18">
        <f>D21/D27</f>
        <v>66.799196449444352</v>
      </c>
      <c r="E29" s="18">
        <f>E21/E27</f>
        <v>79.250747163535891</v>
      </c>
      <c r="N29" s="5"/>
    </row>
    <row r="30" spans="2:14" x14ac:dyDescent="0.3">
      <c r="C30" s="11" t="s">
        <v>43</v>
      </c>
      <c r="D30" s="20">
        <f>D21/D28</f>
        <v>66.346783680295204</v>
      </c>
      <c r="E30" s="20">
        <f>E21/E28</f>
        <v>78.889738047982306</v>
      </c>
      <c r="N30" s="5"/>
    </row>
    <row r="32" spans="2:14" x14ac:dyDescent="0.3">
      <c r="B32" t="s">
        <v>88</v>
      </c>
      <c r="C32" s="4" t="s">
        <v>101</v>
      </c>
      <c r="D32" s="21"/>
      <c r="E32" s="21"/>
    </row>
    <row r="33" spans="3:5" x14ac:dyDescent="0.3">
      <c r="C33" s="6" t="s">
        <v>0</v>
      </c>
      <c r="D33" s="12"/>
      <c r="E33" s="12"/>
    </row>
    <row r="34" spans="3:5" x14ac:dyDescent="0.3">
      <c r="C34" t="s">
        <v>1</v>
      </c>
      <c r="D34" s="12">
        <f>IFERROR('Financials Raw Data'!C42/10000,0)</f>
        <v>554.55409999999995</v>
      </c>
      <c r="E34" s="12">
        <f>IFERROR('Financials Raw Data'!D42/10000,0)</f>
        <v>557.97429999999997</v>
      </c>
    </row>
    <row r="35" spans="3:5" x14ac:dyDescent="0.3">
      <c r="C35" t="s">
        <v>3</v>
      </c>
      <c r="D35" s="12">
        <f>IFERROR('Financials Raw Data'!C44/10000,0)</f>
        <v>239538.38459999999</v>
      </c>
      <c r="E35" s="12">
        <f>IFERROR('Financials Raw Data'!D44/10000,0)</f>
        <v>279641.03340000001</v>
      </c>
    </row>
    <row r="36" spans="3:5" x14ac:dyDescent="0.3">
      <c r="C36" s="10" t="s">
        <v>102</v>
      </c>
      <c r="D36" s="19">
        <f>SUM(D34:D35)</f>
        <v>240092.9387</v>
      </c>
      <c r="E36" s="19">
        <f>SUM(E34:E35)</f>
        <v>280199.00770000002</v>
      </c>
    </row>
    <row r="37" spans="3:5" x14ac:dyDescent="0.3">
      <c r="C37" t="s">
        <v>4</v>
      </c>
      <c r="D37" s="12">
        <f>IFERROR('Financials Raw Data'!C45/10000,0)</f>
        <v>1559217.44</v>
      </c>
      <c r="E37" s="12">
        <f>IFERROR('Financials Raw Data'!D45/10000,0)</f>
        <v>1883394.6462999999</v>
      </c>
    </row>
    <row r="38" spans="3:5" x14ac:dyDescent="0.3">
      <c r="C38" s="42" t="s">
        <v>268</v>
      </c>
      <c r="D38" s="43" t="s">
        <v>31</v>
      </c>
      <c r="E38" s="44">
        <f>E37/D37-1</f>
        <v>0.20791019775920416</v>
      </c>
    </row>
    <row r="39" spans="3:5" x14ac:dyDescent="0.3">
      <c r="C39" t="s">
        <v>5</v>
      </c>
      <c r="D39" s="12">
        <f>IFERROR('Financials Raw Data'!C46/10000,0)</f>
        <v>184817.20730000001</v>
      </c>
      <c r="E39" s="12">
        <f>IFERROR('Financials Raw Data'!D46/10000,0)</f>
        <v>206765.5655</v>
      </c>
    </row>
    <row r="40" spans="3:5" x14ac:dyDescent="0.3">
      <c r="C40" s="42" t="s">
        <v>269</v>
      </c>
      <c r="D40" s="43" t="s">
        <v>31</v>
      </c>
      <c r="E40" s="44">
        <f>E39/D39-1</f>
        <v>0.118757114235434</v>
      </c>
    </row>
    <row r="41" spans="3:5" x14ac:dyDescent="0.3">
      <c r="C41" s="45" t="s">
        <v>270</v>
      </c>
      <c r="D41" s="46">
        <f>SUM(D37,D39)</f>
        <v>1744034.6472999998</v>
      </c>
      <c r="E41" s="46">
        <f>SUM(E37,E39)</f>
        <v>2090160.2117999999</v>
      </c>
    </row>
    <row r="42" spans="3:5" x14ac:dyDescent="0.3">
      <c r="C42" t="s">
        <v>6</v>
      </c>
      <c r="D42" s="12">
        <f>IFERROR('Financials Raw Data'!C47/10000,0)</f>
        <v>84407.464300000007</v>
      </c>
      <c r="E42" s="12">
        <f>IFERROR('Financials Raw Data'!D47/10000,0)</f>
        <v>95722.247700000007</v>
      </c>
    </row>
    <row r="43" spans="3:5" x14ac:dyDescent="0.3">
      <c r="C43" s="9" t="s">
        <v>103</v>
      </c>
      <c r="D43" s="26">
        <f>SUM(D36:D37,D39,D42)</f>
        <v>2068535.0503000002</v>
      </c>
      <c r="E43" s="26">
        <f>SUM(E36:E37,E39,E42)</f>
        <v>2466081.4672000003</v>
      </c>
    </row>
    <row r="44" spans="3:5" x14ac:dyDescent="0.3">
      <c r="D44" s="17"/>
      <c r="E44" s="17"/>
    </row>
    <row r="45" spans="3:5" x14ac:dyDescent="0.3">
      <c r="C45" s="6" t="s">
        <v>8</v>
      </c>
      <c r="D45" s="12"/>
      <c r="E45" s="12"/>
    </row>
    <row r="46" spans="3:5" x14ac:dyDescent="0.3">
      <c r="C46" s="28" t="s">
        <v>259</v>
      </c>
      <c r="D46" s="12" cm="1">
        <f t="array" ref="D46">SUM(('Financials Raw Data'!C50:C51)/10000)</f>
        <v>152326.92440000002</v>
      </c>
      <c r="E46" s="12" cm="1">
        <f t="array" ref="E46">SUM(('Financials Raw Data'!D50:D51)/10000)</f>
        <v>193765.08309999999</v>
      </c>
    </row>
    <row r="47" spans="3:5" x14ac:dyDescent="0.3">
      <c r="C47" s="28" t="s">
        <v>257</v>
      </c>
      <c r="D47" s="12">
        <f>'Financials Raw Data'!C52/10000</f>
        <v>455535.69300000003</v>
      </c>
      <c r="E47" s="12">
        <f>'Financials Raw Data'!D52/10000</f>
        <v>517001.42800000001</v>
      </c>
    </row>
    <row r="48" spans="3:5" x14ac:dyDescent="0.3">
      <c r="C48" t="s">
        <v>260</v>
      </c>
      <c r="D48" s="12">
        <f>'Financials Raw Data'!C53/10000</f>
        <v>1368820.9313999999</v>
      </c>
      <c r="E48" s="12">
        <f>'Financials Raw Data'!D53/10000</f>
        <v>1600585.9</v>
      </c>
    </row>
    <row r="49" spans="3:7" x14ac:dyDescent="0.3">
      <c r="C49" s="28" t="s">
        <v>258</v>
      </c>
      <c r="D49" s="12" cm="1">
        <f t="array" ref="D49">SUM(('Financials Raw Data'!C54:C55)/10000)</f>
        <v>91851.501499999998</v>
      </c>
      <c r="E49" s="12" cm="1">
        <f t="array" ref="E49">SUM(('Financials Raw Data'!D54:D55)/10000)</f>
        <v>154729.05609999999</v>
      </c>
    </row>
    <row r="50" spans="3:7" x14ac:dyDescent="0.3">
      <c r="C50" s="9" t="s">
        <v>104</v>
      </c>
      <c r="D50" s="15">
        <f>SUM(D46:D49)</f>
        <v>2068535.0503</v>
      </c>
      <c r="E50" s="15">
        <f>SUM(E46:E49)</f>
        <v>2466081.4672000003</v>
      </c>
    </row>
    <row r="51" spans="3:7" x14ac:dyDescent="0.3">
      <c r="C51" s="62"/>
      <c r="D51" s="63"/>
      <c r="E51" s="64"/>
      <c r="F51" s="65"/>
    </row>
    <row r="52" spans="3:7" x14ac:dyDescent="0.3">
      <c r="C52" s="125" t="s">
        <v>271</v>
      </c>
      <c r="D52" s="126">
        <f>D37/D41</f>
        <v>0.89402893595828403</v>
      </c>
      <c r="E52" s="126">
        <f>E37/E41</f>
        <v>0.90107669051745176</v>
      </c>
      <c r="F52" s="12"/>
      <c r="G52" s="12"/>
    </row>
    <row r="53" spans="3:7" x14ac:dyDescent="0.3">
      <c r="C53" s="125" t="s">
        <v>272</v>
      </c>
      <c r="D53" s="126">
        <f>D39/D41</f>
        <v>0.10597106404171609</v>
      </c>
      <c r="E53" s="126">
        <f>E39/E41</f>
        <v>9.8923309482548252E-2</v>
      </c>
      <c r="F53" s="12"/>
      <c r="G53" s="12"/>
    </row>
    <row r="54" spans="3:7" x14ac:dyDescent="0.3">
      <c r="C54" s="125" t="s">
        <v>273</v>
      </c>
      <c r="D54" s="126">
        <f>D49/D37</f>
        <v>5.8908718658252056E-2</v>
      </c>
      <c r="E54" s="126">
        <f>E49/E37</f>
        <v>8.2154346357504557E-2</v>
      </c>
      <c r="F54" s="12"/>
      <c r="G54" s="12"/>
    </row>
    <row r="55" spans="3:7" x14ac:dyDescent="0.3">
      <c r="D55" s="12"/>
      <c r="E55" s="12"/>
      <c r="F55" s="12"/>
      <c r="G55" s="12"/>
    </row>
    <row r="56" spans="3:7" x14ac:dyDescent="0.3">
      <c r="D56" s="12"/>
      <c r="E56" s="12"/>
      <c r="F56" s="12"/>
      <c r="G56" s="12"/>
    </row>
    <row r="57" spans="3:7" x14ac:dyDescent="0.3">
      <c r="D57" s="12"/>
      <c r="E57" s="12"/>
      <c r="F57" s="12"/>
      <c r="G57" s="12"/>
    </row>
    <row r="58" spans="3:7" x14ac:dyDescent="0.3">
      <c r="D58" s="12"/>
      <c r="E58" s="12"/>
      <c r="F58" s="12"/>
      <c r="G58" s="12"/>
    </row>
    <row r="59" spans="3:7" x14ac:dyDescent="0.3">
      <c r="D59" s="12"/>
      <c r="E59" s="12"/>
      <c r="F59" s="12"/>
      <c r="G59" s="12"/>
    </row>
    <row r="60" spans="3:7" x14ac:dyDescent="0.3">
      <c r="D60" s="12"/>
      <c r="E60" s="12"/>
      <c r="F60" s="12"/>
      <c r="G60" s="12"/>
    </row>
    <row r="61" spans="3:7" x14ac:dyDescent="0.3">
      <c r="D61" s="12"/>
      <c r="E61" s="12"/>
      <c r="F61" s="12"/>
      <c r="G61" s="12"/>
    </row>
    <row r="62" spans="3:7" x14ac:dyDescent="0.3">
      <c r="D62" s="12"/>
      <c r="E62" s="12"/>
      <c r="F62" s="12"/>
      <c r="G62" s="12"/>
    </row>
    <row r="63" spans="3:7" x14ac:dyDescent="0.3">
      <c r="D63" s="12"/>
      <c r="E63" s="12"/>
      <c r="F63" s="12"/>
      <c r="G63" s="12"/>
    </row>
    <row r="64" spans="3:7" x14ac:dyDescent="0.3">
      <c r="D64" s="12"/>
      <c r="E64" s="12"/>
      <c r="F64" s="12"/>
      <c r="G64" s="12"/>
    </row>
    <row r="65" spans="3:13" x14ac:dyDescent="0.3">
      <c r="D65" s="12"/>
      <c r="E65" s="12"/>
      <c r="F65" s="12"/>
      <c r="G65" s="12"/>
    </row>
    <row r="66" spans="3:13" x14ac:dyDescent="0.3">
      <c r="C66" s="1"/>
      <c r="D66" s="17"/>
      <c r="E66" s="17"/>
      <c r="F66" s="17"/>
      <c r="G66" s="17"/>
    </row>
    <row r="67" spans="3:13" x14ac:dyDescent="0.3">
      <c r="D67" s="12"/>
      <c r="E67" s="12"/>
      <c r="F67" s="12"/>
      <c r="G67" s="12"/>
    </row>
    <row r="68" spans="3:13" x14ac:dyDescent="0.3">
      <c r="D68" s="12"/>
      <c r="E68" s="12"/>
      <c r="F68" s="12"/>
      <c r="G68" s="12"/>
    </row>
    <row r="69" spans="3:13" x14ac:dyDescent="0.3">
      <c r="D69" s="12"/>
      <c r="E69" s="12"/>
      <c r="F69" s="12"/>
      <c r="G69" s="12"/>
    </row>
    <row r="70" spans="3:13" x14ac:dyDescent="0.3"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3:13" x14ac:dyDescent="0.3"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3:13" x14ac:dyDescent="0.3"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3:13" x14ac:dyDescent="0.3">
      <c r="C73" s="1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3:13" x14ac:dyDescent="0.3"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3:13" x14ac:dyDescent="0.3">
      <c r="C75" s="6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3:13" x14ac:dyDescent="0.3"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3:13" x14ac:dyDescent="0.3">
      <c r="C77" s="6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3:13" x14ac:dyDescent="0.3"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3:13" x14ac:dyDescent="0.3"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3:13" x14ac:dyDescent="0.3"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3:13" x14ac:dyDescent="0.3"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3:13" x14ac:dyDescent="0.3"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3:13" x14ac:dyDescent="0.3">
      <c r="C83" s="6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3:13" x14ac:dyDescent="0.3">
      <c r="D84" s="12"/>
      <c r="E84" s="12"/>
      <c r="F84" s="12"/>
      <c r="G84" s="12"/>
      <c r="H84" s="12"/>
      <c r="I84" s="17"/>
      <c r="J84" s="17"/>
      <c r="K84" s="17"/>
      <c r="L84" s="17"/>
      <c r="M84" s="17"/>
    </row>
    <row r="85" spans="3:13" x14ac:dyDescent="0.3">
      <c r="C85" s="6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3:13" x14ac:dyDescent="0.3"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3:13" x14ac:dyDescent="0.3"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3:13" x14ac:dyDescent="0.3"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3:13" x14ac:dyDescent="0.3"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3:13" x14ac:dyDescent="0.3"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3:13" x14ac:dyDescent="0.3"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3:13" x14ac:dyDescent="0.3"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3:13" x14ac:dyDescent="0.3">
      <c r="C93" s="6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3:13" x14ac:dyDescent="0.3"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3:13" x14ac:dyDescent="0.3">
      <c r="C95" s="6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3:13" x14ac:dyDescent="0.3"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3:13" x14ac:dyDescent="0.3"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3:13" x14ac:dyDescent="0.3">
      <c r="C98" s="6"/>
      <c r="D98" s="17"/>
      <c r="E98" s="17"/>
      <c r="F98" s="17"/>
      <c r="G98" s="17"/>
      <c r="H98" s="17"/>
      <c r="I98" s="17"/>
      <c r="J98" s="17"/>
      <c r="K98" s="17"/>
      <c r="L98" s="17"/>
      <c r="M98" s="17"/>
    </row>
  </sheetData>
  <mergeCells count="1">
    <mergeCell ref="C2:E2"/>
  </mergeCells>
  <pageMargins left="0.7" right="0.7" top="0.75" bottom="0.75" header="0.3" footer="0.3"/>
  <ignoredErrors>
    <ignoredError sqref="D46:E46 D49:E4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30F0-4A6F-4780-82BD-2DA6C70BCACD}">
  <dimension ref="C2:I62"/>
  <sheetViews>
    <sheetView showGridLines="0" workbookViewId="0">
      <selection activeCell="H12" sqref="H12"/>
    </sheetView>
  </sheetViews>
  <sheetFormatPr defaultRowHeight="14.4" x14ac:dyDescent="0.3"/>
  <cols>
    <col min="1" max="1" width="13.5546875" customWidth="1"/>
    <col min="3" max="3" width="47.6640625" bestFit="1" customWidth="1"/>
    <col min="4" max="4" width="12" bestFit="1" customWidth="1"/>
    <col min="6" max="6" width="18.88671875" bestFit="1" customWidth="1"/>
    <col min="7" max="7" width="14.109375" bestFit="1" customWidth="1"/>
    <col min="8" max="8" width="10.5546875" bestFit="1" customWidth="1"/>
    <col min="9" max="9" width="17.5546875" bestFit="1" customWidth="1"/>
  </cols>
  <sheetData>
    <row r="2" spans="3:9" x14ac:dyDescent="0.3">
      <c r="C2" s="61" t="str">
        <f>"Pro Forma Combined Financial Statements - HDFC BANK Ltd."</f>
        <v>Pro Forma Combined Financial Statements - HDFC BANK Ltd.</v>
      </c>
      <c r="D2" s="61"/>
    </row>
    <row r="3" spans="3:9" x14ac:dyDescent="0.3">
      <c r="C3" s="3" t="s">
        <v>87</v>
      </c>
      <c r="D3" s="36">
        <f>'[1]Data Sheet'!I56</f>
        <v>45016</v>
      </c>
    </row>
    <row r="4" spans="3:9" x14ac:dyDescent="0.3">
      <c r="C4" s="3"/>
      <c r="D4" s="3">
        <v>2</v>
      </c>
      <c r="G4" s="128" t="s">
        <v>277</v>
      </c>
      <c r="H4" s="128" t="s">
        <v>278</v>
      </c>
      <c r="I4" s="128" t="s">
        <v>279</v>
      </c>
    </row>
    <row r="5" spans="3:9" x14ac:dyDescent="0.3">
      <c r="C5" s="4" t="s">
        <v>89</v>
      </c>
      <c r="D5" s="4"/>
      <c r="F5" s="127" t="s">
        <v>281</v>
      </c>
      <c r="G5" s="53">
        <f>'Standalone FS-HDFC Bank'!E49</f>
        <v>154729.05609999999</v>
      </c>
      <c r="H5" s="53">
        <f>D50</f>
        <v>2208948.58</v>
      </c>
      <c r="I5" s="51">
        <f>H5/G5-1</f>
        <v>13.276236381694053</v>
      </c>
    </row>
    <row r="6" spans="3:9" x14ac:dyDescent="0.3">
      <c r="C6" s="6" t="s">
        <v>19</v>
      </c>
      <c r="F6" s="127" t="s">
        <v>280</v>
      </c>
      <c r="G6" s="53">
        <f>'Standalone FS-HDFC Bank'!E37</f>
        <v>1883394.6462999999</v>
      </c>
      <c r="H6" s="53">
        <f>D39</f>
        <v>2035505.7163</v>
      </c>
      <c r="I6" s="51">
        <f t="shared" ref="I6:I7" si="0">H6/G6-1</f>
        <v>8.0764310495852865E-2</v>
      </c>
    </row>
    <row r="7" spans="3:9" x14ac:dyDescent="0.3">
      <c r="C7" t="s">
        <v>20</v>
      </c>
      <c r="D7" s="12">
        <f>SUM('Standalone FS-HDFC Ltd.'!E7,'Standalone FS-HDFC Bank'!E7)</f>
        <v>216582.84669999999</v>
      </c>
      <c r="F7" s="127" t="s">
        <v>282</v>
      </c>
      <c r="G7" s="53">
        <f>'Standalone FS-HDFC Bank'!E39</f>
        <v>206765.5655</v>
      </c>
      <c r="H7" s="53">
        <f>D41</f>
        <v>622876.37549999997</v>
      </c>
      <c r="I7" s="51">
        <f t="shared" si="0"/>
        <v>2.0124763472765004</v>
      </c>
    </row>
    <row r="8" spans="3:9" ht="16.2" x14ac:dyDescent="0.3">
      <c r="C8" s="7" t="s">
        <v>90</v>
      </c>
      <c r="D8" s="37">
        <f>SUM('Standalone FS-HDFC Ltd.'!E8,'Standalone FS-HDFC Bank'!E8)</f>
        <v>110738.05729999999</v>
      </c>
      <c r="F8" s="127" t="s">
        <v>283</v>
      </c>
      <c r="G8" s="52">
        <f>'Standalone FS-HDFC Bank'!E54</f>
        <v>8.2154346357504557E-2</v>
      </c>
      <c r="H8" s="52">
        <f>D59</f>
        <v>1.0852087332946785</v>
      </c>
      <c r="I8" s="51">
        <f>H8-G8</f>
        <v>1.003054386937174</v>
      </c>
    </row>
    <row r="9" spans="3:9" ht="16.2" x14ac:dyDescent="0.3">
      <c r="C9" s="8" t="s">
        <v>274</v>
      </c>
      <c r="D9" s="47">
        <f>SUM('Standalone FS-HDFC Ltd.'!E9,'Standalone FS-HDFC Bank'!E9)</f>
        <v>105844.78940000001</v>
      </c>
    </row>
    <row r="10" spans="3:9" x14ac:dyDescent="0.3">
      <c r="C10" s="8" t="s">
        <v>275</v>
      </c>
      <c r="D10" s="48">
        <f>D9/'Standalone FS-HDFC Bank'!E9-1</f>
        <v>0.21881718513518322</v>
      </c>
    </row>
    <row r="11" spans="3:9" ht="16.2" x14ac:dyDescent="0.3">
      <c r="C11" t="s">
        <v>92</v>
      </c>
      <c r="D11" s="12">
        <f>SUM('Standalone FS-HDFC Ltd.'!E10,'Standalone FS-HDFC Bank'!E10)</f>
        <v>36441.165099999998</v>
      </c>
      <c r="G11" s="38"/>
    </row>
    <row r="12" spans="3:9" ht="16.2" x14ac:dyDescent="0.3">
      <c r="C12" s="8" t="s">
        <v>93</v>
      </c>
      <c r="D12" s="37">
        <f>SUM('Standalone FS-HDFC Ltd.'!E11,'Standalone FS-HDFC Bank'!E11)</f>
        <v>142285.95449999999</v>
      </c>
    </row>
    <row r="13" spans="3:9" x14ac:dyDescent="0.3">
      <c r="C13" s="40" t="s">
        <v>22</v>
      </c>
      <c r="D13" s="25">
        <f>SUM(D7:D9,D11)</f>
        <v>469606.85849999997</v>
      </c>
    </row>
    <row r="14" spans="3:9" x14ac:dyDescent="0.3">
      <c r="D14" s="12"/>
    </row>
    <row r="15" spans="3:9" x14ac:dyDescent="0.3">
      <c r="C15" s="6" t="s">
        <v>23</v>
      </c>
      <c r="D15" s="12"/>
    </row>
    <row r="16" spans="3:9" x14ac:dyDescent="0.3">
      <c r="C16" t="s">
        <v>24</v>
      </c>
      <c r="D16" s="12">
        <f>SUM('Standalone FS-HDFC Bank'!E15,'Standalone FS-HDFC Ltd.'!E15)</f>
        <v>110738.05729999999</v>
      </c>
    </row>
    <row r="17" spans="3:4" x14ac:dyDescent="0.3">
      <c r="C17" t="s">
        <v>25</v>
      </c>
      <c r="D17" s="12">
        <f>SUM('Standalone FS-HDFC Bank'!E16,'Standalone FS-HDFC Ltd.'!E16)</f>
        <v>50071.954400000002</v>
      </c>
    </row>
    <row r="18" spans="3:4" x14ac:dyDescent="0.3">
      <c r="C18" t="s">
        <v>26</v>
      </c>
      <c r="D18" s="12">
        <f>SUM('Standalone FS-HDFC Bank'!E17,'Standalone FS-HDFC Ltd.'!E17)</f>
        <v>28091.258699999998</v>
      </c>
    </row>
    <row r="19" spans="3:4" x14ac:dyDescent="0.3">
      <c r="C19" s="40" t="s">
        <v>15</v>
      </c>
      <c r="D19" s="25">
        <f>SUM(D16:D18)</f>
        <v>188901.27039999998</v>
      </c>
    </row>
    <row r="20" spans="3:4" x14ac:dyDescent="0.3">
      <c r="C20" s="6"/>
      <c r="D20" s="12"/>
    </row>
    <row r="21" spans="3:4" x14ac:dyDescent="0.3">
      <c r="C21" s="6" t="s">
        <v>27</v>
      </c>
      <c r="D21" s="12"/>
    </row>
    <row r="22" spans="3:4" x14ac:dyDescent="0.3">
      <c r="C22" s="5" t="s">
        <v>28</v>
      </c>
      <c r="D22" s="39">
        <f>SUM('Standalone FS-HDFC Bank'!E21,'Standalone FS-HDFC Ltd.'!E21)</f>
        <v>60348.061399999999</v>
      </c>
    </row>
    <row r="23" spans="3:4" x14ac:dyDescent="0.3">
      <c r="C23" t="s">
        <v>29</v>
      </c>
      <c r="D23" s="12">
        <f>SUM('Standalone FS-HDFC Bank'!E22,'Standalone FS-HDFC Ltd.'!E22)</f>
        <v>93185.674299999999</v>
      </c>
    </row>
    <row r="24" spans="3:4" x14ac:dyDescent="0.3">
      <c r="C24" t="s">
        <v>30</v>
      </c>
      <c r="D24" s="12">
        <f>SUM('Standalone FS-HDFC Bank'!E23,'Standalone FS-HDFC Ltd.'!E23)</f>
        <v>0</v>
      </c>
    </row>
    <row r="25" spans="3:4" x14ac:dyDescent="0.3">
      <c r="C25" s="40" t="s">
        <v>7</v>
      </c>
      <c r="D25" s="25">
        <f>SUM(D22:D24)</f>
        <v>153533.73569999999</v>
      </c>
    </row>
    <row r="26" spans="3:4" x14ac:dyDescent="0.3">
      <c r="C26" s="6"/>
      <c r="D26" s="12"/>
    </row>
    <row r="27" spans="3:4" x14ac:dyDescent="0.3">
      <c r="C27" s="6" t="s">
        <v>94</v>
      </c>
      <c r="D27" s="12"/>
    </row>
    <row r="28" spans="3:4" x14ac:dyDescent="0.3">
      <c r="C28" t="s">
        <v>95</v>
      </c>
      <c r="D28" s="12">
        <f>D61+'Standalone FS-HDFC Bank'!E27</f>
        <v>862.26422649999995</v>
      </c>
    </row>
    <row r="29" spans="3:4" x14ac:dyDescent="0.3">
      <c r="C29" t="s">
        <v>96</v>
      </c>
      <c r="D29" s="12">
        <f>D62+'Standalone FS-HDFC Bank'!E28</f>
        <v>867.46556559999999</v>
      </c>
    </row>
    <row r="30" spans="3:4" x14ac:dyDescent="0.3">
      <c r="C30" s="10" t="s">
        <v>42</v>
      </c>
      <c r="D30" s="18">
        <f>D22/D28</f>
        <v>69.987898773161035</v>
      </c>
    </row>
    <row r="31" spans="3:4" x14ac:dyDescent="0.3">
      <c r="C31" s="11" t="s">
        <v>43</v>
      </c>
      <c r="D31" s="20">
        <f>D22/D29</f>
        <v>69.568250076023531</v>
      </c>
    </row>
    <row r="32" spans="3:4" x14ac:dyDescent="0.3">
      <c r="D32" s="12"/>
    </row>
    <row r="33" spans="3:4" x14ac:dyDescent="0.3">
      <c r="D33" s="12"/>
    </row>
    <row r="34" spans="3:4" x14ac:dyDescent="0.3">
      <c r="C34" s="4" t="s">
        <v>101</v>
      </c>
      <c r="D34" s="4"/>
    </row>
    <row r="35" spans="3:4" x14ac:dyDescent="0.3">
      <c r="C35" s="6" t="s">
        <v>0</v>
      </c>
      <c r="D35" s="12"/>
    </row>
    <row r="36" spans="3:4" x14ac:dyDescent="0.3">
      <c r="C36" t="s">
        <v>1</v>
      </c>
      <c r="D36" s="12">
        <f>SUM('Standalone FS-HDFC Bank'!E34,'Standalone FS-HDFC Ltd.'!E35)</f>
        <v>924.88429999999994</v>
      </c>
    </row>
    <row r="37" spans="3:4" x14ac:dyDescent="0.3">
      <c r="C37" t="s">
        <v>3</v>
      </c>
      <c r="D37" s="12">
        <f>SUM('Standalone FS-HDFC Bank'!E35,'Standalone FS-HDFC Ltd.'!E36)</f>
        <v>413258.86340000003</v>
      </c>
    </row>
    <row r="38" spans="3:4" x14ac:dyDescent="0.3">
      <c r="C38" s="41" t="s">
        <v>102</v>
      </c>
      <c r="D38" s="16">
        <f>SUM(D36:D37)</f>
        <v>414183.74770000001</v>
      </c>
    </row>
    <row r="39" spans="3:4" x14ac:dyDescent="0.3">
      <c r="C39" s="5" t="s">
        <v>4</v>
      </c>
      <c r="D39" s="39">
        <f>SUM('Standalone FS-HDFC Ltd.'!E38,'Standalone FS-HDFC Bank'!E37)</f>
        <v>2035505.7163</v>
      </c>
    </row>
    <row r="40" spans="3:4" x14ac:dyDescent="0.3">
      <c r="C40" s="42" t="s">
        <v>268</v>
      </c>
      <c r="D40" s="44">
        <f>D39/'Standalone FS-HDFC Bank'!E37-1</f>
        <v>8.0764310495852865E-2</v>
      </c>
    </row>
    <row r="41" spans="3:4" x14ac:dyDescent="0.3">
      <c r="C41" s="5" t="s">
        <v>5</v>
      </c>
      <c r="D41" s="39">
        <f>SUM('Standalone FS-HDFC Ltd.'!E40,'Standalone FS-HDFC Bank'!E39)</f>
        <v>622876.37549999997</v>
      </c>
    </row>
    <row r="42" spans="3:4" x14ac:dyDescent="0.3">
      <c r="C42" s="42" t="s">
        <v>269</v>
      </c>
      <c r="D42" s="44">
        <f>D41/'Standalone FS-HDFC Bank'!E39-1</f>
        <v>2.0124763472765004</v>
      </c>
    </row>
    <row r="43" spans="3:4" x14ac:dyDescent="0.3">
      <c r="C43" s="45" t="s">
        <v>270</v>
      </c>
      <c r="D43" s="46">
        <f>SUM(D39,D41)</f>
        <v>2658382.0918000001</v>
      </c>
    </row>
    <row r="44" spans="3:4" x14ac:dyDescent="0.3">
      <c r="C44" t="s">
        <v>6</v>
      </c>
      <c r="D44" s="12">
        <f>SUM('Standalone FS-HDFC Ltd.'!E43,'Standalone FS-HDFC Bank'!E42)</f>
        <v>120290.09770000001</v>
      </c>
    </row>
    <row r="45" spans="3:4" x14ac:dyDescent="0.3">
      <c r="C45" s="40" t="s">
        <v>103</v>
      </c>
      <c r="D45" s="25">
        <f>SUM(D38:D39,D41,D44)</f>
        <v>3192855.9372</v>
      </c>
    </row>
    <row r="46" spans="3:4" x14ac:dyDescent="0.3">
      <c r="D46" s="12"/>
    </row>
    <row r="47" spans="3:4" x14ac:dyDescent="0.3">
      <c r="C47" s="6" t="s">
        <v>8</v>
      </c>
      <c r="D47" s="12"/>
    </row>
    <row r="48" spans="3:4" x14ac:dyDescent="0.3">
      <c r="C48" s="28" t="s">
        <v>259</v>
      </c>
      <c r="D48" s="12">
        <f>SUM('Standalone FS-HDFC Bank'!E46,'Standalone FS-HDFC Ltd.'!E47)</f>
        <v>194982.68309999999</v>
      </c>
    </row>
    <row r="49" spans="3:4" x14ac:dyDescent="0.3">
      <c r="C49" s="28" t="s">
        <v>257</v>
      </c>
      <c r="D49" s="12">
        <f>SUM('Standalone FS-HDFC Bank'!E47,'Standalone FS-HDFC Ltd.'!E48)</f>
        <v>614719.478</v>
      </c>
    </row>
    <row r="50" spans="3:4" x14ac:dyDescent="0.3">
      <c r="C50" s="5" t="s">
        <v>260</v>
      </c>
      <c r="D50" s="12">
        <f>SUM('Standalone FS-HDFC Bank'!E48,'Standalone FS-HDFC Ltd.'!E49)</f>
        <v>2208948.58</v>
      </c>
    </row>
    <row r="51" spans="3:4" x14ac:dyDescent="0.3">
      <c r="C51" s="42" t="s">
        <v>261</v>
      </c>
      <c r="D51" s="44">
        <f>D50/'Standalone FS-HDFC Bank'!E48-1</f>
        <v>0.38008749171162903</v>
      </c>
    </row>
    <row r="52" spans="3:4" x14ac:dyDescent="0.3">
      <c r="C52" s="28" t="s">
        <v>258</v>
      </c>
      <c r="D52" s="12">
        <f>SUM('Standalone FS-HDFC Ltd.'!E50)</f>
        <v>19476.14</v>
      </c>
    </row>
    <row r="53" spans="3:4" x14ac:dyDescent="0.3">
      <c r="C53" s="9" t="s">
        <v>104</v>
      </c>
      <c r="D53" s="26">
        <f>SUM(D48:D50,D52)</f>
        <v>3038126.8811000003</v>
      </c>
    </row>
    <row r="54" spans="3:4" x14ac:dyDescent="0.3">
      <c r="C54" s="42" t="s">
        <v>267</v>
      </c>
      <c r="D54" s="44">
        <f>D53/'Standalone FS-HDFC Bank'!E50-1</f>
        <v>0.23196533509069472</v>
      </c>
    </row>
    <row r="55" spans="3:4" x14ac:dyDescent="0.3">
      <c r="C55" s="6"/>
      <c r="D55" s="12"/>
    </row>
    <row r="56" spans="3:4" x14ac:dyDescent="0.3">
      <c r="D56" s="12"/>
    </row>
    <row r="57" spans="3:4" x14ac:dyDescent="0.3">
      <c r="C57" s="49" t="s">
        <v>271</v>
      </c>
      <c r="D57" s="50">
        <f>D39/D43</f>
        <v>0.76569343533372647</v>
      </c>
    </row>
    <row r="58" spans="3:4" x14ac:dyDescent="0.3">
      <c r="C58" s="49" t="s">
        <v>272</v>
      </c>
      <c r="D58" s="50">
        <f>D41/D43</f>
        <v>0.23430656466627345</v>
      </c>
    </row>
    <row r="59" spans="3:4" x14ac:dyDescent="0.3">
      <c r="C59" s="49" t="s">
        <v>273</v>
      </c>
      <c r="D59" s="50">
        <f>D50/D39</f>
        <v>1.0852087332946785</v>
      </c>
    </row>
    <row r="60" spans="3:4" x14ac:dyDescent="0.3">
      <c r="C60" s="49"/>
      <c r="D60" s="50"/>
    </row>
    <row r="61" spans="3:4" x14ac:dyDescent="0.3">
      <c r="C61" s="49" t="s">
        <v>286</v>
      </c>
      <c r="D61" s="49">
        <f>'Standalone FS-HDFC Ltd.'!E27*(42/25)</f>
        <v>305.69279999999998</v>
      </c>
    </row>
    <row r="62" spans="3:4" x14ac:dyDescent="0.3">
      <c r="C62" s="49" t="s">
        <v>285</v>
      </c>
      <c r="D62" s="49">
        <f>'Standalone FS-HDFC Ltd.'!E28*(42/25)</f>
        <v>308.34719999999999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ED17-A3F9-48AF-B5F9-8BC00B055910}">
  <dimension ref="B1:J73"/>
  <sheetViews>
    <sheetView showGridLines="0" workbookViewId="0">
      <pane ySplit="3" topLeftCell="A47" activePane="bottomLeft" state="frozen"/>
      <selection pane="bottomLeft" activeCell="D58" sqref="D58"/>
    </sheetView>
  </sheetViews>
  <sheetFormatPr defaultRowHeight="14.4" x14ac:dyDescent="0.3"/>
  <cols>
    <col min="1" max="1" width="16.5546875" customWidth="1"/>
    <col min="2" max="2" width="2" customWidth="1"/>
    <col min="3" max="3" width="47.6640625" bestFit="1" customWidth="1"/>
    <col min="4" max="4" width="16.33203125" bestFit="1" customWidth="1"/>
    <col min="5" max="6" width="10.6640625" bestFit="1" customWidth="1"/>
    <col min="7" max="9" width="12" bestFit="1" customWidth="1"/>
  </cols>
  <sheetData>
    <row r="1" spans="2:9" x14ac:dyDescent="0.3">
      <c r="C1" s="61" t="str">
        <f>"Post-Merger Actual Financial Statements - HDFC BANK Ltd."</f>
        <v>Post-Merger Actual Financial Statements - HDFC BANK Ltd.</v>
      </c>
      <c r="D1" s="61"/>
      <c r="E1" s="61"/>
      <c r="F1" s="61"/>
      <c r="G1" s="61"/>
      <c r="H1" s="61"/>
      <c r="I1" s="61"/>
    </row>
    <row r="2" spans="2:9" x14ac:dyDescent="0.3">
      <c r="C2" s="3" t="s">
        <v>87</v>
      </c>
      <c r="D2" s="54">
        <f>'Pro Forma Combined Financials'!D3</f>
        <v>45016</v>
      </c>
      <c r="E2" s="55">
        <f>'[1]Data Sheet'!J56</f>
        <v>45382</v>
      </c>
      <c r="F2" s="55">
        <f>'[1]Data Sheet'!K56</f>
        <v>45747</v>
      </c>
      <c r="G2" s="93">
        <f>'Post-Merger Actual'!F2+365</f>
        <v>46112</v>
      </c>
      <c r="H2" s="93">
        <f>G2+365</f>
        <v>46477</v>
      </c>
      <c r="I2" s="93">
        <f>H2+365</f>
        <v>46842</v>
      </c>
    </row>
    <row r="3" spans="2:9" x14ac:dyDescent="0.3">
      <c r="C3" s="3"/>
      <c r="D3" s="3"/>
      <c r="E3" s="3">
        <v>3</v>
      </c>
      <c r="F3" s="3">
        <v>4</v>
      </c>
      <c r="G3" s="94">
        <v>5</v>
      </c>
      <c r="H3" s="94">
        <v>6</v>
      </c>
      <c r="I3" s="94">
        <v>7</v>
      </c>
    </row>
    <row r="4" spans="2:9" x14ac:dyDescent="0.3">
      <c r="B4" s="5" t="s">
        <v>88</v>
      </c>
      <c r="C4" s="4" t="s">
        <v>89</v>
      </c>
      <c r="D4" s="4"/>
      <c r="E4" s="4"/>
      <c r="F4" s="4"/>
      <c r="G4" s="4"/>
      <c r="H4" s="4"/>
      <c r="I4" s="4"/>
    </row>
    <row r="5" spans="2:9" x14ac:dyDescent="0.3">
      <c r="C5" s="6" t="s">
        <v>19</v>
      </c>
      <c r="D5" s="6"/>
    </row>
    <row r="6" spans="2:9" x14ac:dyDescent="0.3">
      <c r="C6" t="s">
        <v>20</v>
      </c>
      <c r="D6" s="12">
        <f>'Pro Forma Combined Financials'!D7</f>
        <v>216582.84669999999</v>
      </c>
      <c r="E6" s="12">
        <f>IFERROR('Financials Raw Data'!E6/10000,0)</f>
        <v>258340.57550000001</v>
      </c>
      <c r="F6" s="12">
        <f>IFERROR('Financials Raw Data'!F6/10000,0)</f>
        <v>300517.0417</v>
      </c>
      <c r="G6" s="14">
        <f>FORECAST(G$3,$E6:$F6,$E$3:$F$3)</f>
        <v>342693.50789999997</v>
      </c>
      <c r="H6" s="14">
        <f t="shared" ref="H6:I6" si="0">FORECAST(H$3,$E6:$F6,$E$3:$F$3)</f>
        <v>384869.97409999999</v>
      </c>
      <c r="I6" s="14">
        <f t="shared" si="0"/>
        <v>427046.44029999996</v>
      </c>
    </row>
    <row r="7" spans="2:9" x14ac:dyDescent="0.3">
      <c r="C7" s="7" t="s">
        <v>287</v>
      </c>
      <c r="D7" s="58">
        <f>'Pro Forma Combined Financials'!D8</f>
        <v>110738.05729999999</v>
      </c>
      <c r="E7" s="13">
        <f>IFERROR('Financials Raw Data'!E10/10000,0)</f>
        <v>149808.10079999999</v>
      </c>
      <c r="F7" s="13">
        <f>IFERROR('Financials Raw Data'!F10/10000,0)</f>
        <v>177846.95269999999</v>
      </c>
      <c r="G7" s="13">
        <f t="shared" ref="G7:I7" si="1">FORECAST(G$3,$E7:$F7,$E$3:$F$3)</f>
        <v>205885.8046</v>
      </c>
      <c r="H7" s="13">
        <f t="shared" si="1"/>
        <v>233924.65650000001</v>
      </c>
      <c r="I7" s="13">
        <f t="shared" si="1"/>
        <v>261963.50840000002</v>
      </c>
    </row>
    <row r="8" spans="2:9" x14ac:dyDescent="0.3">
      <c r="C8" s="78" t="s">
        <v>288</v>
      </c>
      <c r="D8" s="79">
        <f>'Pro Forma Combined Financials'!D9</f>
        <v>105844.78940000001</v>
      </c>
      <c r="E8" s="80">
        <f>E6-E7</f>
        <v>108532.47470000002</v>
      </c>
      <c r="F8" s="80">
        <f>F6-F7</f>
        <v>122670.08900000001</v>
      </c>
      <c r="G8" s="80">
        <f t="shared" ref="G8:I8" si="2">G6-G7</f>
        <v>136807.70329999996</v>
      </c>
      <c r="H8" s="80">
        <f t="shared" si="2"/>
        <v>150945.31759999998</v>
      </c>
      <c r="I8" s="80">
        <f t="shared" si="2"/>
        <v>165082.93189999994</v>
      </c>
    </row>
    <row r="9" spans="2:9" x14ac:dyDescent="0.3">
      <c r="C9" s="101" t="s">
        <v>323</v>
      </c>
      <c r="D9" s="102"/>
      <c r="E9" s="103"/>
      <c r="F9" s="103"/>
      <c r="G9" s="103">
        <f>G8+'Synergy Estimates'!E22</f>
        <v>137675.12072019998</v>
      </c>
      <c r="H9" s="103">
        <f>H8+'Synergy Estimates'!E23</f>
        <v>152223.26371039997</v>
      </c>
      <c r="I9" s="103">
        <f>I8+'Synergy Estimates'!E24</f>
        <v>166314.51797059993</v>
      </c>
    </row>
    <row r="10" spans="2:9" x14ac:dyDescent="0.3">
      <c r="C10" s="8" t="s">
        <v>275</v>
      </c>
      <c r="D10" s="57">
        <f>'Pro Forma Combined Financials'!D10</f>
        <v>0.21881718513518322</v>
      </c>
      <c r="E10" s="59">
        <f>E8/D8-1</f>
        <v>2.5392702987417914E-2</v>
      </c>
      <c r="F10" s="59">
        <f>F8/E8-1</f>
        <v>0.13026160454811775</v>
      </c>
      <c r="G10" s="59">
        <f>G8/F8-1</f>
        <v>0.1152490751025701</v>
      </c>
      <c r="H10" s="59">
        <f t="shared" ref="H10:I10" si="3">H8/G8-1</f>
        <v>0.10333931466562385</v>
      </c>
      <c r="I10" s="59">
        <f t="shared" si="3"/>
        <v>9.3660502523597033E-2</v>
      </c>
    </row>
    <row r="11" spans="2:9" x14ac:dyDescent="0.3">
      <c r="C11" t="s">
        <v>289</v>
      </c>
      <c r="D11" s="12">
        <f>'Pro Forma Combined Financials'!D11</f>
        <v>36441.165099999998</v>
      </c>
      <c r="E11" s="12">
        <f>IFERROR('Financials Raw Data'!E7/10000,0)</f>
        <v>49240.999400000001</v>
      </c>
      <c r="F11" s="12">
        <f>IFERROR('Financials Raw Data'!F7/10000,0)</f>
        <v>45632.281799999997</v>
      </c>
      <c r="G11" s="14">
        <f>FORECAST(G$3,$E11:$F11,$E$3:$F$3)</f>
        <v>42023.564199999993</v>
      </c>
      <c r="H11" s="14">
        <f t="shared" ref="H11:I11" si="4">FORECAST(H$3,$E11:$F11,$E$3:$F$3)</f>
        <v>38414.84659999999</v>
      </c>
      <c r="I11" s="14">
        <f t="shared" si="4"/>
        <v>34806.128999999986</v>
      </c>
    </row>
    <row r="12" spans="2:9" x14ac:dyDescent="0.3">
      <c r="C12" s="8" t="s">
        <v>290</v>
      </c>
      <c r="D12" s="13">
        <f>SUM(D8,D11)</f>
        <v>142285.95449999999</v>
      </c>
      <c r="E12" s="13">
        <f>SUM(E8,E11)</f>
        <v>157773.47410000002</v>
      </c>
      <c r="F12" s="13">
        <f t="shared" ref="F12:I12" si="5">SUM(F8,F11)</f>
        <v>168302.3708</v>
      </c>
      <c r="G12" s="13">
        <f t="shared" si="5"/>
        <v>178831.26749999996</v>
      </c>
      <c r="H12" s="13">
        <f t="shared" si="5"/>
        <v>189360.16419999997</v>
      </c>
      <c r="I12" s="13">
        <f t="shared" si="5"/>
        <v>199889.06089999992</v>
      </c>
    </row>
    <row r="13" spans="2:9" x14ac:dyDescent="0.3">
      <c r="C13" s="9" t="s">
        <v>22</v>
      </c>
      <c r="D13" s="26">
        <f>'Pro Forma Combined Financials'!D13</f>
        <v>469606.85849999997</v>
      </c>
      <c r="E13" s="15">
        <f>SUM(E6:E8,E11)</f>
        <v>565922.15040000004</v>
      </c>
      <c r="F13" s="15">
        <f t="shared" ref="F13:I13" si="6">SUM(F6:F8,F11)</f>
        <v>646666.3652</v>
      </c>
      <c r="G13" s="15">
        <f t="shared" si="6"/>
        <v>727410.58</v>
      </c>
      <c r="H13" s="15">
        <f t="shared" si="6"/>
        <v>808154.79480000003</v>
      </c>
      <c r="I13" s="15">
        <f t="shared" si="6"/>
        <v>888899.00959999987</v>
      </c>
    </row>
    <row r="14" spans="2:9" x14ac:dyDescent="0.3">
      <c r="D14" s="12"/>
      <c r="E14" s="12"/>
      <c r="F14" s="12"/>
      <c r="G14" s="12"/>
      <c r="H14" s="12"/>
      <c r="I14" s="12"/>
    </row>
    <row r="15" spans="2:9" x14ac:dyDescent="0.3">
      <c r="C15" s="6" t="s">
        <v>23</v>
      </c>
      <c r="D15" s="12"/>
      <c r="E15" s="12"/>
      <c r="F15" s="12"/>
      <c r="G15" s="12"/>
      <c r="H15" s="12"/>
      <c r="I15" s="12"/>
    </row>
    <row r="16" spans="2:9" x14ac:dyDescent="0.3">
      <c r="C16" t="s">
        <v>24</v>
      </c>
      <c r="D16" s="12">
        <f>'Pro Forma Combined Financials'!D16</f>
        <v>110738.05729999999</v>
      </c>
      <c r="E16" s="12">
        <f>IFERROR('Financials Raw Data'!E10/10000,0)</f>
        <v>149808.10079999999</v>
      </c>
      <c r="F16" s="12">
        <f>IFERROR('Financials Raw Data'!F10/10000,0)</f>
        <v>177846.95269999999</v>
      </c>
      <c r="G16" s="14">
        <f>FORECAST(G$3,$E16:$F16,$E$3:$F$3)</f>
        <v>205885.8046</v>
      </c>
      <c r="H16" s="14">
        <f t="shared" ref="H16:I19" si="7">FORECAST(H$3,$E16:$F16,$E$3:$F$3)</f>
        <v>233924.65650000001</v>
      </c>
      <c r="I16" s="14">
        <f>FORECAST(I$3,$E16:$F16,$E$3:$F$3)</f>
        <v>261963.50840000002</v>
      </c>
    </row>
    <row r="17" spans="3:9" x14ac:dyDescent="0.3">
      <c r="C17" t="s">
        <v>25</v>
      </c>
      <c r="D17" s="12">
        <f>'Pro Forma Combined Financials'!D17</f>
        <v>50071.954400000002</v>
      </c>
      <c r="E17" s="12">
        <f>IFERROR('Financials Raw Data'!E11/10000,0)</f>
        <v>63386.023999999998</v>
      </c>
      <c r="F17" s="12">
        <f>IFERROR('Financials Raw Data'!F11/10000,0)</f>
        <v>68174.881999999998</v>
      </c>
      <c r="G17" s="14">
        <f>FORECAST(G$3,$E17:$F17,$E$3:$F$3)</f>
        <v>72963.739999999991</v>
      </c>
      <c r="H17" s="14">
        <f t="shared" si="7"/>
        <v>77752.597999999998</v>
      </c>
      <c r="I17" s="14">
        <f t="shared" si="7"/>
        <v>82541.456000000006</v>
      </c>
    </row>
    <row r="18" spans="3:9" x14ac:dyDescent="0.3">
      <c r="C18" s="101" t="s">
        <v>322</v>
      </c>
      <c r="D18" s="101"/>
      <c r="E18" s="101"/>
      <c r="F18" s="101"/>
      <c r="G18" s="103">
        <f>G17-'Synergy Estimates'!E30</f>
        <v>72598.921299999987</v>
      </c>
      <c r="H18" s="103">
        <f>H17-'Synergy Estimates'!E31</f>
        <v>77363.835009999995</v>
      </c>
      <c r="I18" s="103">
        <f>I17-'Synergy Estimates'!E32</f>
        <v>82128.748720000003</v>
      </c>
    </row>
    <row r="19" spans="3:9" x14ac:dyDescent="0.3">
      <c r="C19" t="s">
        <v>26</v>
      </c>
      <c r="D19" s="12">
        <f>'Pro Forma Combined Financials'!D18</f>
        <v>28091.258699999998</v>
      </c>
      <c r="E19" s="12">
        <f>IFERROR('Financials Raw Data'!E12/10000,0)</f>
        <v>33575.171600000001</v>
      </c>
      <c r="F19" s="12">
        <f>IFERROR('Financials Raw Data'!F12/10000,0)</f>
        <v>32780.130700000002</v>
      </c>
      <c r="G19" s="14">
        <f>FORECAST(G$3,$E19:$F19,$E$3:$F$3)</f>
        <v>31985.089800000009</v>
      </c>
      <c r="H19" s="14">
        <f t="shared" si="7"/>
        <v>31190.048900000009</v>
      </c>
      <c r="I19" s="14">
        <f t="shared" si="7"/>
        <v>30395.008000000009</v>
      </c>
    </row>
    <row r="20" spans="3:9" x14ac:dyDescent="0.3">
      <c r="C20" s="9" t="s">
        <v>15</v>
      </c>
      <c r="D20" s="15">
        <f>SUM(D16:D17,D19)</f>
        <v>188901.27039999998</v>
      </c>
      <c r="E20" s="15">
        <f>SUM(E16:E17,E19)</f>
        <v>246769.29639999999</v>
      </c>
      <c r="F20" s="15">
        <f t="shared" ref="F20:I20" si="8">SUM(F16:F17,F19)</f>
        <v>278801.96539999999</v>
      </c>
      <c r="G20" s="15">
        <f t="shared" si="8"/>
        <v>310834.63440000004</v>
      </c>
      <c r="H20" s="15">
        <f t="shared" si="8"/>
        <v>342867.30340000003</v>
      </c>
      <c r="I20" s="15">
        <f t="shared" si="8"/>
        <v>374899.97240000009</v>
      </c>
    </row>
    <row r="21" spans="3:9" x14ac:dyDescent="0.3">
      <c r="C21" s="6"/>
      <c r="D21" s="12"/>
      <c r="E21" s="12"/>
      <c r="F21" s="12"/>
      <c r="G21" s="12"/>
      <c r="H21" s="12"/>
      <c r="I21" s="12"/>
    </row>
    <row r="22" spans="3:9" x14ac:dyDescent="0.3">
      <c r="C22" s="6" t="s">
        <v>27</v>
      </c>
      <c r="D22" s="12"/>
      <c r="E22" s="12"/>
      <c r="F22" s="12"/>
      <c r="G22" s="12"/>
      <c r="H22" s="12"/>
      <c r="I22" s="12"/>
    </row>
    <row r="23" spans="3:9" x14ac:dyDescent="0.3">
      <c r="C23" s="70" t="s">
        <v>28</v>
      </c>
      <c r="D23" s="69">
        <f>'Pro Forma Combined Financials'!D22</f>
        <v>60348.061399999999</v>
      </c>
      <c r="E23" s="69">
        <f>IFERROR('Financials Raw Data'!E15/10000,0)</f>
        <v>60812.2785</v>
      </c>
      <c r="F23" s="69">
        <f>IFERROR('Financials Raw Data'!F15/10000,0)</f>
        <v>67347.358099999998</v>
      </c>
      <c r="G23" s="69">
        <f>FORECAST(G$3,$E23:$F23,$E$3:$F$3)</f>
        <v>73882.437699999995</v>
      </c>
      <c r="H23" s="69">
        <f t="shared" ref="H23:I26" si="9">FORECAST(H$3,$E23:$F23,$E$3:$F$3)</f>
        <v>80417.517299999992</v>
      </c>
      <c r="I23" s="69">
        <f t="shared" si="9"/>
        <v>86952.59689999999</v>
      </c>
    </row>
    <row r="24" spans="3:9" x14ac:dyDescent="0.3">
      <c r="C24" s="101" t="s">
        <v>324</v>
      </c>
      <c r="D24" s="101"/>
      <c r="E24" s="101"/>
      <c r="F24" s="101"/>
      <c r="G24" s="103">
        <f>G23+'Synergy Estimates'!E43</f>
        <v>74806.614790149993</v>
      </c>
      <c r="H24" s="103">
        <f>H23+'Synergy Estimates'!E44</f>
        <v>81667.549125299993</v>
      </c>
      <c r="I24" s="103">
        <f>I23+'Synergy Estimates'!E45</f>
        <v>88185.816912949987</v>
      </c>
    </row>
    <row r="25" spans="3:9" x14ac:dyDescent="0.3">
      <c r="C25" t="s">
        <v>29</v>
      </c>
      <c r="D25" s="12">
        <f>'Pro Forma Combined Financials'!D23</f>
        <v>93185.674299999999</v>
      </c>
      <c r="E25" s="12">
        <f>IFERROR('Financials Raw Data'!E16/10000,0)</f>
        <v>112959.9963</v>
      </c>
      <c r="F25" s="12">
        <f>IFERROR('Financials Raw Data'!F16/10000,0)</f>
        <v>139579.83059999999</v>
      </c>
      <c r="G25" s="14">
        <f>FORECAST(G$3,$E25:$F25,$E$3:$F$3)</f>
        <v>166199.66489999997</v>
      </c>
      <c r="H25" s="14">
        <f t="shared" si="9"/>
        <v>192819.49919999996</v>
      </c>
      <c r="I25" s="14">
        <f t="shared" si="9"/>
        <v>219439.33349999995</v>
      </c>
    </row>
    <row r="26" spans="3:9" x14ac:dyDescent="0.3">
      <c r="C26" t="s">
        <v>30</v>
      </c>
      <c r="D26" s="12">
        <f>'Pro Forma Combined Financials'!D24</f>
        <v>0</v>
      </c>
      <c r="E26" s="12">
        <f>IFERROR('Financials Raw Data'!E17/10000,0)</f>
        <v>3570.1097</v>
      </c>
      <c r="F26" s="12">
        <f>IFERROR('Financials Raw Data'!F17/10000,0)</f>
        <v>0</v>
      </c>
      <c r="G26" s="14">
        <f>FORECAST(G$3,$E26:$F26,$E$3:$F$3)</f>
        <v>-3570.1097000000009</v>
      </c>
      <c r="H26" s="14">
        <f t="shared" si="9"/>
        <v>-7140.2193999999981</v>
      </c>
      <c r="I26" s="14">
        <f t="shared" si="9"/>
        <v>-10710.329099999999</v>
      </c>
    </row>
    <row r="27" spans="3:9" x14ac:dyDescent="0.3">
      <c r="C27" s="9" t="s">
        <v>7</v>
      </c>
      <c r="D27" s="26">
        <f>'Pro Forma Combined Financials'!D25</f>
        <v>153533.73569999999</v>
      </c>
      <c r="E27" s="15">
        <f>SUM(E23:E26)</f>
        <v>177342.38450000001</v>
      </c>
      <c r="F27" s="15">
        <f>SUM(F23:F26)</f>
        <v>206927.1887</v>
      </c>
      <c r="G27" s="15">
        <f t="shared" ref="G27:I27" si="10">SUM(G23:G26)</f>
        <v>311318.60769014992</v>
      </c>
      <c r="H27" s="15">
        <f t="shared" si="10"/>
        <v>347764.34622529993</v>
      </c>
      <c r="I27" s="15">
        <f t="shared" si="10"/>
        <v>383867.41821294994</v>
      </c>
    </row>
    <row r="28" spans="3:9" x14ac:dyDescent="0.3">
      <c r="C28" s="6"/>
      <c r="D28" s="12"/>
      <c r="E28" s="12"/>
      <c r="F28" s="12"/>
      <c r="G28" s="12"/>
      <c r="H28" s="12"/>
      <c r="I28" s="12"/>
    </row>
    <row r="29" spans="3:9" x14ac:dyDescent="0.3">
      <c r="C29" s="6" t="s">
        <v>94</v>
      </c>
      <c r="D29" s="12"/>
      <c r="E29" s="12"/>
      <c r="F29" s="12"/>
      <c r="G29" s="12"/>
      <c r="H29" s="12"/>
      <c r="I29" s="12"/>
    </row>
    <row r="30" spans="3:9" x14ac:dyDescent="0.3">
      <c r="C30" t="s">
        <v>95</v>
      </c>
      <c r="D30" s="12">
        <f>'Pro Forma Combined Financials'!D28</f>
        <v>862.26422649999995</v>
      </c>
      <c r="E30" s="12">
        <f>IFERROR('Financials Raw Data'!E34/10000000,0)</f>
        <v>708.48074429999997</v>
      </c>
      <c r="F30" s="12">
        <f>IFERROR('Financials Raw Data'!F34/10000000,0)</f>
        <v>762.77931799999999</v>
      </c>
      <c r="G30" s="14">
        <f>F30*(1+'Post-Merger Actual'!$D$64)</f>
        <v>766.59321458999989</v>
      </c>
      <c r="H30" s="14">
        <f>G30*(1+'Post-Merger Actual'!$D$64)</f>
        <v>770.42618066294983</v>
      </c>
      <c r="I30" s="14">
        <f>H30*(1+'Post-Merger Actual'!$D$64)</f>
        <v>774.27831156626451</v>
      </c>
    </row>
    <row r="31" spans="3:9" x14ac:dyDescent="0.3">
      <c r="C31" t="s">
        <v>96</v>
      </c>
      <c r="D31" s="12">
        <f>'Pro Forma Combined Financials'!D29</f>
        <v>867.46556559999999</v>
      </c>
      <c r="E31" s="12">
        <f>IFERROR('Financials Raw Data'!E36/10000000,0)</f>
        <v>711.72531500000002</v>
      </c>
      <c r="F31" s="12">
        <f>IFERROR('Financials Raw Data'!F36/10000000,0)</f>
        <v>766.19705710000005</v>
      </c>
      <c r="G31" s="14">
        <f>F31*(1+'Post-Merger Actual'!$D$64)</f>
        <v>770.02804238549993</v>
      </c>
      <c r="H31" s="14">
        <f>G31*(1+'Post-Merger Actual'!$D$64)</f>
        <v>773.87818259742733</v>
      </c>
      <c r="I31" s="14">
        <f>H31*(1+'Post-Merger Actual'!$D$64)</f>
        <v>777.74757351041433</v>
      </c>
    </row>
    <row r="32" spans="3:9" x14ac:dyDescent="0.3">
      <c r="C32" s="74" t="s">
        <v>42</v>
      </c>
      <c r="D32" s="75">
        <f>'Pro Forma Combined Financials'!D30</f>
        <v>69.987898773161035</v>
      </c>
      <c r="E32" s="75">
        <f>E23/E30</f>
        <v>85.834765431888115</v>
      </c>
      <c r="F32" s="75">
        <f>F23/F30</f>
        <v>88.292061033568814</v>
      </c>
      <c r="G32" s="75">
        <f>G24/G30</f>
        <v>97.583194537091117</v>
      </c>
      <c r="H32" s="75">
        <f t="shared" ref="H32:I32" si="11">H24/H30</f>
        <v>106.00308137896516</v>
      </c>
      <c r="I32" s="75">
        <f t="shared" si="11"/>
        <v>113.89421038355256</v>
      </c>
    </row>
    <row r="33" spans="2:9" x14ac:dyDescent="0.3">
      <c r="C33" s="76" t="s">
        <v>43</v>
      </c>
      <c r="D33" s="77">
        <f>'Pro Forma Combined Financials'!D31</f>
        <v>69.568250076023531</v>
      </c>
      <c r="E33" s="77">
        <f>E23/E31</f>
        <v>85.443467048800983</v>
      </c>
      <c r="F33" s="77">
        <f>F23/F31</f>
        <v>87.89822079832156</v>
      </c>
      <c r="G33" s="77">
        <f>G24/G31</f>
        <v>97.147909780536907</v>
      </c>
      <c r="H33" s="77">
        <f t="shared" ref="H33:I33" si="12">H24/H31</f>
        <v>105.53023843002379</v>
      </c>
      <c r="I33" s="77">
        <f t="shared" si="12"/>
        <v>113.38616784738724</v>
      </c>
    </row>
    <row r="36" spans="2:9" x14ac:dyDescent="0.3">
      <c r="B36" s="5" t="s">
        <v>88</v>
      </c>
      <c r="C36" s="4" t="s">
        <v>101</v>
      </c>
      <c r="D36" s="4"/>
      <c r="E36" s="21"/>
      <c r="F36" s="21"/>
      <c r="G36" s="21"/>
      <c r="H36" s="21"/>
      <c r="I36" s="21"/>
    </row>
    <row r="37" spans="2:9" x14ac:dyDescent="0.3">
      <c r="C37" s="6" t="s">
        <v>0</v>
      </c>
      <c r="D37" s="6"/>
      <c r="E37" s="12"/>
      <c r="F37" s="12"/>
      <c r="G37" s="12"/>
      <c r="H37" s="12"/>
      <c r="I37" s="12"/>
    </row>
    <row r="38" spans="2:9" x14ac:dyDescent="0.3">
      <c r="C38" t="s">
        <v>1</v>
      </c>
      <c r="D38" s="12">
        <f>'Pro Forma Combined Financials'!D36</f>
        <v>924.88429999999994</v>
      </c>
      <c r="E38" s="12">
        <f>IFERROR('Financials Raw Data'!E42/10000,0)</f>
        <v>759.69110000000001</v>
      </c>
      <c r="F38" s="12">
        <f>IFERROR('Financials Raw Data'!F42/10000,0)</f>
        <v>765.22220000000004</v>
      </c>
      <c r="G38" s="14">
        <f>FORECAST(G$3,$E38:$F38,$E$3:$F$3)</f>
        <v>770.75330000000019</v>
      </c>
      <c r="H38" s="14">
        <f t="shared" ref="H38:I39" si="13">FORECAST(H$3,$E38:$F38,$E$3:$F$3)</f>
        <v>776.28440000000023</v>
      </c>
      <c r="I38" s="14">
        <f t="shared" si="13"/>
        <v>781.81550000000027</v>
      </c>
    </row>
    <row r="39" spans="2:9" x14ac:dyDescent="0.3">
      <c r="C39" t="s">
        <v>3</v>
      </c>
      <c r="D39" s="12">
        <f>'Pro Forma Combined Financials'!D37</f>
        <v>413258.86340000003</v>
      </c>
      <c r="E39" s="12">
        <f>IFERROR('Financials Raw Data'!E44/10000,0)</f>
        <v>436833.39789999998</v>
      </c>
      <c r="F39" s="12">
        <f>IFERROR('Financials Raw Data'!F44/10000,0)</f>
        <v>496854.22289999999</v>
      </c>
      <c r="G39" s="14">
        <f>FORECAST(G$3,$E39:$F39,$E$3:$F$3)</f>
        <v>556875.04790000001</v>
      </c>
      <c r="H39" s="14">
        <f t="shared" si="13"/>
        <v>616895.87289999996</v>
      </c>
      <c r="I39" s="14">
        <f t="shared" si="13"/>
        <v>676916.69790000003</v>
      </c>
    </row>
    <row r="40" spans="2:9" x14ac:dyDescent="0.3">
      <c r="C40" s="10" t="s">
        <v>102</v>
      </c>
      <c r="D40" s="16">
        <f>'Pro Forma Combined Financials'!D38</f>
        <v>414183.74770000001</v>
      </c>
      <c r="E40" s="16">
        <f>SUM(E38:E39)</f>
        <v>437593.08899999998</v>
      </c>
      <c r="F40" s="16">
        <f>SUM(F38:F39)</f>
        <v>497619.44510000001</v>
      </c>
      <c r="G40" s="16">
        <f t="shared" ref="G40:I40" si="14">SUM(G38:G39)</f>
        <v>557645.80119999999</v>
      </c>
      <c r="H40" s="16">
        <f t="shared" si="14"/>
        <v>617672.15729999996</v>
      </c>
      <c r="I40" s="16">
        <f t="shared" si="14"/>
        <v>677698.51340000005</v>
      </c>
    </row>
    <row r="41" spans="2:9" x14ac:dyDescent="0.3">
      <c r="C41" s="70" t="s">
        <v>4</v>
      </c>
      <c r="D41" s="69">
        <f>'Pro Forma Combined Financials'!D39</f>
        <v>2035505.7163</v>
      </c>
      <c r="E41" s="69">
        <f>IFERROR('Financials Raw Data'!E45/10000,0)</f>
        <v>2379786.2763999999</v>
      </c>
      <c r="F41" s="69">
        <f>IFERROR('Financials Raw Data'!F45/10000,0)</f>
        <v>2714714.8958999999</v>
      </c>
      <c r="G41" s="69">
        <f>FORECAST(G$3,$E41:$F41,$E$3:$F$3)</f>
        <v>3049643.5153999999</v>
      </c>
      <c r="H41" s="69">
        <f t="shared" ref="H41:I41" si="15">FORECAST(H$3,$E41:$F41,$E$3:$F$3)</f>
        <v>3384572.1348999999</v>
      </c>
      <c r="I41" s="69">
        <f t="shared" si="15"/>
        <v>3719500.7544</v>
      </c>
    </row>
    <row r="42" spans="2:9" x14ac:dyDescent="0.3">
      <c r="C42" s="42" t="s">
        <v>268</v>
      </c>
      <c r="D42" s="58" t="s">
        <v>31</v>
      </c>
      <c r="E42" s="56">
        <f>E41/D41-1</f>
        <v>0.16913760415559476</v>
      </c>
      <c r="F42" s="56">
        <f>F41/E41-1</f>
        <v>0.14073894904825668</v>
      </c>
      <c r="G42" s="56">
        <f t="shared" ref="G42:I42" si="16">G41/F41-1</f>
        <v>0.12337524651514542</v>
      </c>
      <c r="H42" s="56">
        <f t="shared" si="16"/>
        <v>0.10982549855702395</v>
      </c>
      <c r="I42" s="56">
        <f t="shared" si="16"/>
        <v>9.8957447544516741E-2</v>
      </c>
    </row>
    <row r="43" spans="2:9" x14ac:dyDescent="0.3">
      <c r="C43" s="70" t="s">
        <v>5</v>
      </c>
      <c r="D43" s="69">
        <f>'Pro Forma Combined Financials'!D41</f>
        <v>622876.37549999997</v>
      </c>
      <c r="E43" s="69">
        <f>IFERROR('Financials Raw Data'!E46/10000,0)</f>
        <v>662153.07510000002</v>
      </c>
      <c r="F43" s="69">
        <f>IFERROR('Financials Raw Data'!F46/10000,0)</f>
        <v>547930.89260000002</v>
      </c>
      <c r="G43" s="69">
        <f>FORECAST(G$3,$E43:$F43,$E$3:$F$3)</f>
        <v>433708.71009999991</v>
      </c>
      <c r="H43" s="69">
        <f t="shared" ref="H43:I43" si="17">FORECAST(H$3,$E43:$F43,$E$3:$F$3)</f>
        <v>319486.52759999991</v>
      </c>
      <c r="I43" s="69">
        <f t="shared" si="17"/>
        <v>205264.34509999992</v>
      </c>
    </row>
    <row r="44" spans="2:9" x14ac:dyDescent="0.3">
      <c r="C44" s="42" t="s">
        <v>269</v>
      </c>
      <c r="D44" s="58" t="s">
        <v>31</v>
      </c>
      <c r="E44" s="56">
        <f>E43/D43-1</f>
        <v>6.3056974296820334E-2</v>
      </c>
      <c r="F44" s="56">
        <f>F43/E43-1</f>
        <v>-0.17250117351301264</v>
      </c>
      <c r="G44" s="56">
        <f t="shared" ref="G44:I44" si="18">G43/F43-1</f>
        <v>-0.20846092827144991</v>
      </c>
      <c r="H44" s="56">
        <f t="shared" si="18"/>
        <v>-0.26336151393792362</v>
      </c>
      <c r="I44" s="56">
        <f t="shared" si="18"/>
        <v>-0.35751799413278307</v>
      </c>
    </row>
    <row r="45" spans="2:9" x14ac:dyDescent="0.3">
      <c r="C45" t="s">
        <v>6</v>
      </c>
      <c r="D45" s="12">
        <f>'Pro Forma Combined Financials'!D44</f>
        <v>120290.09770000001</v>
      </c>
      <c r="E45" s="12">
        <f>IFERROR('Financials Raw Data'!E47/10000,0)</f>
        <v>135437.93030000001</v>
      </c>
      <c r="F45" s="12">
        <f>IFERROR('Financials Raw Data'!F47/10000,0)</f>
        <v>146128.5166</v>
      </c>
      <c r="G45" s="14">
        <f>FORECAST(G$3,$E45:$F45,$E$3:$F$3)</f>
        <v>156819.1029</v>
      </c>
      <c r="H45" s="14">
        <f t="shared" ref="H45:I45" si="19">FORECAST(H$3,$E45:$F45,$E$3:$F$3)</f>
        <v>167509.68919999996</v>
      </c>
      <c r="I45" s="14">
        <f t="shared" si="19"/>
        <v>178200.27549999999</v>
      </c>
    </row>
    <row r="46" spans="2:9" x14ac:dyDescent="0.3">
      <c r="C46" s="9" t="s">
        <v>103</v>
      </c>
      <c r="D46" s="25">
        <f>'Pro Forma Combined Financials'!D45</f>
        <v>3192855.9372</v>
      </c>
      <c r="E46" s="25">
        <f>SUM(E40:E45)</f>
        <v>3614970.6029945784</v>
      </c>
      <c r="F46" s="25">
        <f>SUM(F40:F45)</f>
        <v>3906393.718437776</v>
      </c>
      <c r="G46" s="15"/>
      <c r="H46" s="15"/>
      <c r="I46" s="15"/>
    </row>
    <row r="47" spans="2:9" x14ac:dyDescent="0.3">
      <c r="D47" s="12"/>
      <c r="E47" s="12"/>
      <c r="F47" s="12"/>
      <c r="G47" s="17"/>
      <c r="H47" s="17"/>
      <c r="I47" s="17"/>
    </row>
    <row r="48" spans="2:9" x14ac:dyDescent="0.3">
      <c r="C48" s="6" t="s">
        <v>8</v>
      </c>
      <c r="D48" s="12"/>
      <c r="E48" s="12"/>
      <c r="F48" s="12"/>
      <c r="G48" s="12"/>
      <c r="H48" s="12"/>
      <c r="I48" s="12"/>
    </row>
    <row r="49" spans="3:10" x14ac:dyDescent="0.3">
      <c r="C49" s="28" t="s">
        <v>259</v>
      </c>
      <c r="D49" s="12">
        <f>'Pro Forma Combined Financials'!D48</f>
        <v>194982.68309999999</v>
      </c>
      <c r="E49" s="12">
        <f>'Financials Raw Data'!I51</f>
        <v>219147.41809999998</v>
      </c>
      <c r="F49" s="12">
        <f>'Financials Raw Data'!J51</f>
        <v>239570.67120000001</v>
      </c>
      <c r="G49" s="14">
        <f t="shared" ref="G49:I50" si="20">FORECAST(G$3,$E49:$F49,$E$3:$F$3)</f>
        <v>259993.92430000004</v>
      </c>
      <c r="H49" s="14">
        <f t="shared" si="20"/>
        <v>280417.17740000004</v>
      </c>
      <c r="I49" s="14">
        <f t="shared" si="20"/>
        <v>300840.43050000013</v>
      </c>
    </row>
    <row r="50" spans="3:10" x14ac:dyDescent="0.3">
      <c r="C50" s="28" t="s">
        <v>257</v>
      </c>
      <c r="D50" s="12">
        <f>'Pro Forma Combined Financials'!D49</f>
        <v>614719.478</v>
      </c>
      <c r="E50" s="12">
        <f>'Financials Raw Data'!I52</f>
        <v>702414.95869999996</v>
      </c>
      <c r="F50" s="12">
        <f>'Financials Raw Data'!J52</f>
        <v>836359.67359999998</v>
      </c>
      <c r="G50" s="14">
        <f t="shared" si="20"/>
        <v>970304.3885</v>
      </c>
      <c r="H50" s="14">
        <f t="shared" si="20"/>
        <v>1104249.1033999999</v>
      </c>
      <c r="I50" s="14">
        <f t="shared" si="20"/>
        <v>1238193.8182999999</v>
      </c>
    </row>
    <row r="51" spans="3:10" x14ac:dyDescent="0.3">
      <c r="C51" s="71" t="s">
        <v>260</v>
      </c>
      <c r="D51" s="69">
        <f>'Pro Forma Combined Financials'!D50</f>
        <v>2208948.58</v>
      </c>
      <c r="E51" s="69">
        <f>'Financials Raw Data'!I53</f>
        <v>2484861.5188000002</v>
      </c>
      <c r="F51" s="69">
        <f>'Financials Raw Data'!J53</f>
        <v>2619608.6170999999</v>
      </c>
      <c r="G51" s="69">
        <f>F51*(1+$D$63)</f>
        <v>2881569.4788100002</v>
      </c>
      <c r="H51" s="69">
        <f>G51*(1+$D$63)</f>
        <v>3169726.4266910003</v>
      </c>
      <c r="I51" s="69">
        <f>H51*(1+$D$63)</f>
        <v>3486699.0693601007</v>
      </c>
    </row>
    <row r="52" spans="3:10" x14ac:dyDescent="0.3">
      <c r="C52" s="42" t="s">
        <v>261</v>
      </c>
      <c r="D52" s="58" t="s">
        <v>31</v>
      </c>
      <c r="E52" s="56">
        <f>E51/D51-1</f>
        <v>0.12490690878825261</v>
      </c>
      <c r="F52" s="56">
        <f>F51/E51-1</f>
        <v>5.4227206337467138E-2</v>
      </c>
      <c r="G52" s="56">
        <f t="shared" ref="G52:I52" si="21">G51/F51-1</f>
        <v>0.10000000000000009</v>
      </c>
      <c r="H52" s="56">
        <f t="shared" si="21"/>
        <v>0.10000000000000009</v>
      </c>
      <c r="I52" s="56">
        <f t="shared" si="21"/>
        <v>0.10000000000000009</v>
      </c>
    </row>
    <row r="53" spans="3:10" x14ac:dyDescent="0.3">
      <c r="C53" s="28" t="s">
        <v>258</v>
      </c>
      <c r="D53" s="12">
        <f>'Pro Forma Combined Financials'!D52</f>
        <v>19476.14</v>
      </c>
      <c r="E53" s="12">
        <f>'Financials Raw Data'!I55</f>
        <v>211199.19130000001</v>
      </c>
      <c r="F53" s="12">
        <f>'Financials Raw Data'!J55</f>
        <v>214659.98269999999</v>
      </c>
      <c r="G53" s="14">
        <f t="shared" ref="G53:I53" si="22">FORECAST(G$3,$E53:$F53,$E$3:$F$3)</f>
        <v>218120.77409999998</v>
      </c>
      <c r="H53" s="14">
        <f t="shared" si="22"/>
        <v>221581.56549999997</v>
      </c>
      <c r="I53" s="14">
        <f t="shared" si="22"/>
        <v>225042.35689999996</v>
      </c>
    </row>
    <row r="54" spans="3:10" x14ac:dyDescent="0.3">
      <c r="C54" s="72" t="s">
        <v>104</v>
      </c>
      <c r="D54" s="73">
        <f>SUM(D49:D51,D53)</f>
        <v>3038126.8811000003</v>
      </c>
      <c r="E54" s="73">
        <f>SUM(E49:E51,E53)</f>
        <v>3617623.0869000005</v>
      </c>
      <c r="F54" s="73">
        <f>SUM(F49:F51,F53)</f>
        <v>3910198.9446</v>
      </c>
      <c r="G54" s="73">
        <f t="shared" ref="G54:I54" si="23">SUM(G49:G51,G53)</f>
        <v>4329988.5657099998</v>
      </c>
      <c r="H54" s="73">
        <f t="shared" si="23"/>
        <v>4775974.2729909997</v>
      </c>
      <c r="I54" s="73">
        <f t="shared" si="23"/>
        <v>5250775.6750601009</v>
      </c>
      <c r="J54" s="92"/>
    </row>
    <row r="55" spans="3:10" x14ac:dyDescent="0.3">
      <c r="C55" s="42" t="s">
        <v>267</v>
      </c>
      <c r="D55" s="58" t="s">
        <v>31</v>
      </c>
      <c r="E55" s="56">
        <f>(E54-D54)/D54</f>
        <v>0.19074127858352796</v>
      </c>
      <c r="F55" s="56">
        <f>(F54-E54)/E54</f>
        <v>8.0875163241705364E-2</v>
      </c>
      <c r="G55" s="56">
        <f t="shared" ref="G55:I55" si="24">(G54-F54)/F54</f>
        <v>0.10735761199304981</v>
      </c>
      <c r="H55" s="56">
        <f t="shared" si="24"/>
        <v>0.10299928060153446</v>
      </c>
      <c r="I55" s="56">
        <f t="shared" si="24"/>
        <v>9.9414564428076821E-2</v>
      </c>
    </row>
    <row r="57" spans="3:10" x14ac:dyDescent="0.3">
      <c r="C57" s="66" t="s">
        <v>276</v>
      </c>
      <c r="D57" s="67">
        <f>D51/D41</f>
        <v>1.0852087332946785</v>
      </c>
      <c r="E57" s="67">
        <f t="shared" ref="E57:I57" si="25">E51/E41</f>
        <v>1.0441532264649209</v>
      </c>
      <c r="F57" s="67">
        <f>F51/F41</f>
        <v>0.96496638415192781</v>
      </c>
      <c r="G57" s="67">
        <f>G51/G41</f>
        <v>0.94488731691384109</v>
      </c>
      <c r="H57" s="67">
        <f t="shared" si="25"/>
        <v>0.93652204779634651</v>
      </c>
      <c r="I57" s="67">
        <f t="shared" si="25"/>
        <v>0.93741050199693987</v>
      </c>
    </row>
    <row r="58" spans="3:10" x14ac:dyDescent="0.3">
      <c r="C58" s="66" t="s">
        <v>262</v>
      </c>
      <c r="D58" s="68">
        <f>D8/D51</f>
        <v>4.7916366346562947E-2</v>
      </c>
      <c r="E58" s="68">
        <f t="shared" ref="E58" si="26">E8/E51</f>
        <v>4.3677474128382403E-2</v>
      </c>
      <c r="F58" s="68">
        <f>F8/F51</f>
        <v>4.6827639899810744E-2</v>
      </c>
      <c r="G58" s="68">
        <f>G9/G51</f>
        <v>4.7777824457335513E-2</v>
      </c>
      <c r="H58" s="68">
        <f t="shared" ref="H58" si="27">H9/H51</f>
        <v>4.8024101521376941E-2</v>
      </c>
      <c r="I58" s="68">
        <f>I9/I51</f>
        <v>4.7699705269122337E-2</v>
      </c>
    </row>
    <row r="59" spans="3:10" x14ac:dyDescent="0.3">
      <c r="G59" s="12"/>
      <c r="H59" s="12"/>
      <c r="I59" s="12"/>
    </row>
    <row r="60" spans="3:10" x14ac:dyDescent="0.3">
      <c r="C60" s="5" t="s">
        <v>328</v>
      </c>
      <c r="D60" s="81">
        <f>(E32-D32)/D32</f>
        <v>0.226422952203332</v>
      </c>
      <c r="G60" s="12"/>
      <c r="H60" s="12"/>
      <c r="I60" s="12"/>
    </row>
    <row r="61" spans="3:10" x14ac:dyDescent="0.3">
      <c r="G61" s="12"/>
      <c r="H61" s="12"/>
      <c r="I61" s="12"/>
    </row>
    <row r="62" spans="3:10" x14ac:dyDescent="0.3">
      <c r="C62" t="s">
        <v>329</v>
      </c>
      <c r="G62" s="12"/>
      <c r="H62" s="12"/>
      <c r="I62" s="12"/>
    </row>
    <row r="63" spans="3:10" x14ac:dyDescent="0.3">
      <c r="C63" t="s">
        <v>327</v>
      </c>
      <c r="D63" s="83">
        <v>0.1</v>
      </c>
      <c r="G63" s="12"/>
      <c r="H63" s="12"/>
      <c r="I63" s="12"/>
    </row>
    <row r="64" spans="3:10" x14ac:dyDescent="0.3">
      <c r="C64" t="s">
        <v>325</v>
      </c>
      <c r="D64" s="83">
        <v>5.0000000000000001E-3</v>
      </c>
      <c r="G64" s="12"/>
      <c r="H64" s="12"/>
      <c r="I64" s="12"/>
    </row>
    <row r="65" spans="3:9" x14ac:dyDescent="0.3">
      <c r="G65" s="12"/>
      <c r="H65" s="12"/>
      <c r="I65" s="12"/>
    </row>
    <row r="66" spans="3:9" x14ac:dyDescent="0.3">
      <c r="C66" s="105" t="s">
        <v>330</v>
      </c>
      <c r="G66" s="12"/>
      <c r="H66" s="12"/>
      <c r="I66" s="12"/>
    </row>
    <row r="67" spans="3:9" x14ac:dyDescent="0.3">
      <c r="C67" s="105" t="s">
        <v>331</v>
      </c>
      <c r="G67" s="12"/>
      <c r="H67" s="12"/>
      <c r="I67" s="12"/>
    </row>
    <row r="68" spans="3:9" x14ac:dyDescent="0.3">
      <c r="G68" s="12"/>
      <c r="H68" s="12"/>
      <c r="I68" s="12"/>
    </row>
    <row r="69" spans="3:9" x14ac:dyDescent="0.3">
      <c r="G69" s="12"/>
      <c r="H69" s="12"/>
      <c r="I69" s="12"/>
    </row>
    <row r="70" spans="3:9" x14ac:dyDescent="0.3">
      <c r="G70" s="17"/>
      <c r="H70" s="17"/>
      <c r="I70" s="17"/>
    </row>
    <row r="71" spans="3:9" x14ac:dyDescent="0.3">
      <c r="G71" s="12"/>
      <c r="H71" s="12"/>
      <c r="I71" s="12"/>
    </row>
    <row r="72" spans="3:9" x14ac:dyDescent="0.3">
      <c r="G72" s="12"/>
      <c r="H72" s="12"/>
      <c r="I72" s="12"/>
    </row>
    <row r="73" spans="3:9" x14ac:dyDescent="0.3">
      <c r="G73" s="12"/>
      <c r="H73" s="12"/>
      <c r="I73" s="12"/>
    </row>
  </sheetData>
  <mergeCells count="1">
    <mergeCell ref="C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2424-4761-43D4-BB85-541303D81F39}">
  <dimension ref="B2:R46"/>
  <sheetViews>
    <sheetView showGridLines="0" workbookViewId="0">
      <selection activeCell="F41" sqref="F41"/>
    </sheetView>
  </sheetViews>
  <sheetFormatPr defaultRowHeight="14.4" x14ac:dyDescent="0.3"/>
  <cols>
    <col min="1" max="1" width="10.88671875" customWidth="1"/>
    <col min="2" max="2" width="2.6640625" customWidth="1"/>
    <col min="3" max="3" width="31.44140625" customWidth="1"/>
    <col min="4" max="4" width="18.33203125" bestFit="1" customWidth="1"/>
    <col min="5" max="5" width="15.44140625" bestFit="1" customWidth="1"/>
    <col min="6" max="6" width="12.44140625" bestFit="1" customWidth="1"/>
  </cols>
  <sheetData>
    <row r="2" spans="2:18" ht="36.6" x14ac:dyDescent="0.7">
      <c r="B2" s="109" t="s">
        <v>296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4" spans="2:18" x14ac:dyDescent="0.3">
      <c r="B4" t="s">
        <v>297</v>
      </c>
      <c r="C4" s="110" t="s">
        <v>311</v>
      </c>
      <c r="D4" s="21"/>
      <c r="E4" s="21"/>
    </row>
    <row r="5" spans="2:18" x14ac:dyDescent="0.3">
      <c r="C5" s="5"/>
      <c r="D5" s="86"/>
    </row>
    <row r="6" spans="2:18" x14ac:dyDescent="0.3">
      <c r="C6" s="104" t="s">
        <v>326</v>
      </c>
    </row>
    <row r="7" spans="2:18" x14ac:dyDescent="0.3">
      <c r="C7" s="5" t="s">
        <v>298</v>
      </c>
    </row>
    <row r="8" spans="2:18" x14ac:dyDescent="0.3">
      <c r="C8" s="85" t="s">
        <v>299</v>
      </c>
      <c r="D8" t="s">
        <v>300</v>
      </c>
    </row>
    <row r="9" spans="2:18" x14ac:dyDescent="0.3">
      <c r="C9" s="91">
        <f>Assumptions!D5</f>
        <v>46112</v>
      </c>
      <c r="D9" s="87">
        <v>0.1</v>
      </c>
    </row>
    <row r="10" spans="2:18" x14ac:dyDescent="0.3">
      <c r="C10" s="91">
        <f>Assumptions!E5</f>
        <v>46477</v>
      </c>
      <c r="D10" s="87">
        <v>0.2</v>
      </c>
    </row>
    <row r="11" spans="2:18" x14ac:dyDescent="0.3">
      <c r="C11" s="91">
        <f>Assumptions!F5</f>
        <v>46842</v>
      </c>
      <c r="D11" s="87">
        <v>0.3</v>
      </c>
    </row>
    <row r="13" spans="2:18" x14ac:dyDescent="0.3">
      <c r="C13" s="5" t="s">
        <v>301</v>
      </c>
    </row>
    <row r="14" spans="2:18" x14ac:dyDescent="0.3">
      <c r="C14" t="s">
        <v>302</v>
      </c>
    </row>
    <row r="15" spans="2:18" x14ac:dyDescent="0.3">
      <c r="C15" t="s">
        <v>303</v>
      </c>
      <c r="D15" s="83">
        <v>7.4999999999999997E-2</v>
      </c>
    </row>
    <row r="16" spans="2:18" x14ac:dyDescent="0.3">
      <c r="C16" t="s">
        <v>304</v>
      </c>
      <c r="D16" s="83">
        <v>5.5E-2</v>
      </c>
    </row>
    <row r="17" spans="2:15" x14ac:dyDescent="0.3">
      <c r="C17" t="s">
        <v>306</v>
      </c>
      <c r="D17" s="84">
        <v>0.02</v>
      </c>
    </row>
    <row r="19" spans="2:15" x14ac:dyDescent="0.3">
      <c r="C19" s="5" t="s">
        <v>305</v>
      </c>
    </row>
    <row r="20" spans="2:15" x14ac:dyDescent="0.3">
      <c r="C20" s="88" t="s">
        <v>299</v>
      </c>
      <c r="D20" s="85" t="s">
        <v>307</v>
      </c>
      <c r="E20" s="96" t="s">
        <v>308</v>
      </c>
    </row>
    <row r="21" spans="2:15" x14ac:dyDescent="0.3">
      <c r="C21" s="90">
        <f>C29</f>
        <v>45747</v>
      </c>
      <c r="D21" s="85" t="s">
        <v>31</v>
      </c>
      <c r="E21" s="96" t="s">
        <v>31</v>
      </c>
    </row>
    <row r="22" spans="2:15" x14ac:dyDescent="0.3">
      <c r="C22" s="91">
        <f>C9</f>
        <v>46112</v>
      </c>
      <c r="D22" s="89">
        <f>'Post-Merger Actual'!G43*D9</f>
        <v>43370.871009999995</v>
      </c>
      <c r="E22" s="97">
        <f>D22*$D$17</f>
        <v>867.41742019999992</v>
      </c>
      <c r="L22" s="89"/>
      <c r="M22" s="89"/>
      <c r="N22" s="89"/>
      <c r="O22" s="89"/>
    </row>
    <row r="23" spans="2:15" x14ac:dyDescent="0.3">
      <c r="C23" s="91">
        <f>C10</f>
        <v>46477</v>
      </c>
      <c r="D23" s="89">
        <f>'Post-Merger Actual'!H43*D10</f>
        <v>63897.305519999987</v>
      </c>
      <c r="E23" s="97">
        <f t="shared" ref="E23:E24" si="0">D23*$D$17</f>
        <v>1277.9461103999997</v>
      </c>
      <c r="L23" s="89"/>
      <c r="M23" s="89"/>
      <c r="N23" s="89"/>
      <c r="O23" s="89"/>
    </row>
    <row r="24" spans="2:15" x14ac:dyDescent="0.3">
      <c r="C24" s="91">
        <f>C11</f>
        <v>46842</v>
      </c>
      <c r="D24" s="89">
        <f>'Post-Merger Actual'!I43*D11</f>
        <v>61579.303529999976</v>
      </c>
      <c r="E24" s="97">
        <f t="shared" si="0"/>
        <v>1231.5860705999996</v>
      </c>
    </row>
    <row r="25" spans="2:15" x14ac:dyDescent="0.3">
      <c r="K25" s="5"/>
    </row>
    <row r="26" spans="2:15" x14ac:dyDescent="0.3">
      <c r="B26" t="s">
        <v>309</v>
      </c>
      <c r="C26" s="110" t="s">
        <v>310</v>
      </c>
      <c r="D26" s="21"/>
      <c r="E26" s="21"/>
    </row>
    <row r="27" spans="2:15" x14ac:dyDescent="0.3">
      <c r="C27" t="s">
        <v>312</v>
      </c>
      <c r="D27" s="95">
        <f>Assumptions!C7</f>
        <v>5.0000000000000001E-3</v>
      </c>
    </row>
    <row r="28" spans="2:15" x14ac:dyDescent="0.3">
      <c r="C28" s="100" t="s">
        <v>299</v>
      </c>
      <c r="D28" s="99" t="s">
        <v>313</v>
      </c>
      <c r="E28" s="98" t="s">
        <v>314</v>
      </c>
      <c r="F28" s="91"/>
      <c r="G28" s="91"/>
    </row>
    <row r="29" spans="2:15" x14ac:dyDescent="0.3">
      <c r="C29" s="90">
        <f>'Post-Merger Actual'!F2</f>
        <v>45747</v>
      </c>
      <c r="D29" s="89">
        <f>'Post-Merger Actual'!F17</f>
        <v>68174.881999999998</v>
      </c>
      <c r="E29" s="97">
        <f>D29*$D$27</f>
        <v>340.87441000000001</v>
      </c>
    </row>
    <row r="30" spans="2:15" x14ac:dyDescent="0.3">
      <c r="C30" s="91">
        <f>C22</f>
        <v>46112</v>
      </c>
      <c r="D30" s="89">
        <f>'Post-Merger Actual'!G17</f>
        <v>72963.739999999991</v>
      </c>
      <c r="E30" s="97">
        <f t="shared" ref="E30:E32" si="1">D30*$D$27</f>
        <v>364.81869999999998</v>
      </c>
    </row>
    <row r="31" spans="2:15" x14ac:dyDescent="0.3">
      <c r="C31" s="91">
        <f t="shared" ref="C31:C32" si="2">C23</f>
        <v>46477</v>
      </c>
      <c r="D31" s="89">
        <f>'Post-Merger Actual'!H17</f>
        <v>77752.597999999998</v>
      </c>
      <c r="E31" s="97">
        <f t="shared" si="1"/>
        <v>388.76299</v>
      </c>
    </row>
    <row r="32" spans="2:15" x14ac:dyDescent="0.3">
      <c r="C32" s="91">
        <f t="shared" si="2"/>
        <v>46842</v>
      </c>
      <c r="D32" s="89">
        <f>'Post-Merger Actual'!I17</f>
        <v>82541.456000000006</v>
      </c>
      <c r="E32" s="97">
        <f t="shared" si="1"/>
        <v>412.70728000000003</v>
      </c>
    </row>
    <row r="34" spans="2:6" x14ac:dyDescent="0.3">
      <c r="B34" t="s">
        <v>315</v>
      </c>
      <c r="C34" s="110" t="s">
        <v>316</v>
      </c>
      <c r="D34" s="21"/>
      <c r="E34" s="21"/>
    </row>
    <row r="36" spans="2:6" x14ac:dyDescent="0.3">
      <c r="C36" s="5" t="s">
        <v>299</v>
      </c>
      <c r="D36" s="90" t="s">
        <v>317</v>
      </c>
      <c r="E36" s="85" t="s">
        <v>318</v>
      </c>
      <c r="F36" s="96" t="s">
        <v>319</v>
      </c>
    </row>
    <row r="37" spans="2:6" x14ac:dyDescent="0.3">
      <c r="C37" s="91">
        <f>C30</f>
        <v>46112</v>
      </c>
      <c r="D37" s="89">
        <f>E22</f>
        <v>867.41742019999992</v>
      </c>
      <c r="E37" s="89">
        <f>E30</f>
        <v>364.81869999999998</v>
      </c>
      <c r="F37" s="97">
        <f>SUM(D37:E37)</f>
        <v>1232.2361202</v>
      </c>
    </row>
    <row r="38" spans="2:6" x14ac:dyDescent="0.3">
      <c r="C38" s="91">
        <f t="shared" ref="C38:C39" si="3">C31</f>
        <v>46477</v>
      </c>
      <c r="D38" s="89">
        <f t="shared" ref="D38:D39" si="4">E23</f>
        <v>1277.9461103999997</v>
      </c>
      <c r="E38" s="89">
        <f t="shared" ref="E38:E39" si="5">E31</f>
        <v>388.76299</v>
      </c>
      <c r="F38" s="97">
        <f t="shared" ref="F38:F39" si="6">SUM(D38:E38)</f>
        <v>1666.7091003999997</v>
      </c>
    </row>
    <row r="39" spans="2:6" x14ac:dyDescent="0.3">
      <c r="C39" s="91">
        <f t="shared" si="3"/>
        <v>46842</v>
      </c>
      <c r="D39" s="89">
        <f t="shared" si="4"/>
        <v>1231.5860705999996</v>
      </c>
      <c r="E39" s="89">
        <f t="shared" si="5"/>
        <v>412.70728000000003</v>
      </c>
      <c r="F39" s="97">
        <f t="shared" si="6"/>
        <v>1644.2933505999997</v>
      </c>
    </row>
    <row r="41" spans="2:6" x14ac:dyDescent="0.3">
      <c r="C41" t="s">
        <v>321</v>
      </c>
      <c r="D41" s="84">
        <f>Assumptions!C9</f>
        <v>0.25</v>
      </c>
    </row>
    <row r="42" spans="2:6" x14ac:dyDescent="0.3">
      <c r="C42" t="str">
        <f>C36</f>
        <v>Year</v>
      </c>
      <c r="D42" t="str">
        <f>F36</f>
        <v>Total Synergy</v>
      </c>
      <c r="E42" s="5" t="s">
        <v>320</v>
      </c>
    </row>
    <row r="43" spans="2:6" x14ac:dyDescent="0.3">
      <c r="C43" s="91">
        <f>C37</f>
        <v>46112</v>
      </c>
      <c r="D43" s="89">
        <f>F37</f>
        <v>1232.2361202</v>
      </c>
      <c r="E43" s="97">
        <f>D43*(1-$D$41)</f>
        <v>924.17709014999991</v>
      </c>
    </row>
    <row r="44" spans="2:6" x14ac:dyDescent="0.3">
      <c r="C44" s="91">
        <f t="shared" ref="C44:F44" si="7">C38</f>
        <v>46477</v>
      </c>
      <c r="D44" s="89">
        <f>F38</f>
        <v>1666.7091003999997</v>
      </c>
      <c r="E44" s="97">
        <f t="shared" ref="E44:E45" si="8">D44*(1-$D$41)</f>
        <v>1250.0318252999998</v>
      </c>
    </row>
    <row r="45" spans="2:6" x14ac:dyDescent="0.3">
      <c r="C45" s="91">
        <f>C39</f>
        <v>46842</v>
      </c>
      <c r="D45" s="89">
        <f>F39</f>
        <v>1644.2933505999997</v>
      </c>
      <c r="E45" s="97">
        <f t="shared" si="8"/>
        <v>1233.2200129499997</v>
      </c>
    </row>
    <row r="46" spans="2:6" x14ac:dyDescent="0.3">
      <c r="D46" s="89"/>
      <c r="E46" s="89"/>
      <c r="F46" s="89"/>
    </row>
  </sheetData>
  <mergeCells count="1">
    <mergeCell ref="B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F78D-9763-40FE-BC6A-64B9C84DCC4E}">
  <dimension ref="C2:T24"/>
  <sheetViews>
    <sheetView showGridLines="0" tabSelected="1" workbookViewId="0">
      <selection activeCell="C24" sqref="C24"/>
    </sheetView>
  </sheetViews>
  <sheetFormatPr defaultRowHeight="14.4" x14ac:dyDescent="0.3"/>
  <cols>
    <col min="2" max="2" width="2.5546875" customWidth="1"/>
    <col min="3" max="3" width="14.6640625" bestFit="1" customWidth="1"/>
    <col min="4" max="4" width="14.6640625" customWidth="1"/>
    <col min="5" max="5" width="13.6640625" bestFit="1" customWidth="1"/>
    <col min="6" max="6" width="12.88671875" bestFit="1" customWidth="1"/>
    <col min="7" max="7" width="14.77734375" bestFit="1" customWidth="1"/>
    <col min="8" max="9" width="11.5546875" bestFit="1" customWidth="1"/>
  </cols>
  <sheetData>
    <row r="2" spans="3:20" ht="36.6" x14ac:dyDescent="0.7">
      <c r="C2" s="109" t="s">
        <v>332</v>
      </c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</row>
    <row r="4" spans="3:20" x14ac:dyDescent="0.3">
      <c r="C4" s="110" t="s">
        <v>333</v>
      </c>
      <c r="D4" s="21"/>
      <c r="E4" s="21"/>
      <c r="F4" s="21"/>
      <c r="G4" s="21"/>
      <c r="H4" s="21"/>
      <c r="I4" s="21"/>
    </row>
    <row r="5" spans="3:20" x14ac:dyDescent="0.3">
      <c r="D5" s="54">
        <f>'Post-Merger Actual'!D2</f>
        <v>45016</v>
      </c>
      <c r="E5" s="55">
        <f>'Post-Merger Actual'!E2</f>
        <v>45382</v>
      </c>
      <c r="F5" s="55">
        <f>'Post-Merger Actual'!F2</f>
        <v>45747</v>
      </c>
      <c r="G5" s="93">
        <f>'Post-Merger Actual'!G2</f>
        <v>46112</v>
      </c>
      <c r="H5" s="93">
        <f>'Post-Merger Actual'!H2</f>
        <v>46477</v>
      </c>
      <c r="I5" s="93">
        <f>'Post-Merger Actual'!I2</f>
        <v>46842</v>
      </c>
    </row>
    <row r="7" spans="3:20" x14ac:dyDescent="0.3">
      <c r="C7" s="5" t="s">
        <v>334</v>
      </c>
      <c r="D7" s="86">
        <f>'Post-Merger Actual'!D33</f>
        <v>69.568250076023531</v>
      </c>
      <c r="E7" s="86">
        <f>'Post-Merger Actual'!E33</f>
        <v>85.443467048800983</v>
      </c>
      <c r="F7" s="86">
        <f>'Post-Merger Actual'!F33</f>
        <v>87.89822079832156</v>
      </c>
      <c r="G7" s="86">
        <f>'Post-Merger Actual'!G33</f>
        <v>97.147909780536907</v>
      </c>
      <c r="H7" s="86">
        <f>'Post-Merger Actual'!H33</f>
        <v>105.53023843002379</v>
      </c>
      <c r="I7" s="86">
        <f>'Post-Merger Actual'!I33</f>
        <v>113.38616784738724</v>
      </c>
    </row>
    <row r="9" spans="3:20" x14ac:dyDescent="0.3">
      <c r="C9" s="5" t="s">
        <v>335</v>
      </c>
      <c r="D9" s="50">
        <f>I7/D7-1</f>
        <v>0.62985510952884249</v>
      </c>
    </row>
    <row r="11" spans="3:20" x14ac:dyDescent="0.3">
      <c r="C11" s="110" t="s">
        <v>336</v>
      </c>
      <c r="D11" s="21"/>
      <c r="E11" s="21"/>
      <c r="F11" s="21"/>
      <c r="G11" s="21"/>
      <c r="H11" s="21"/>
      <c r="I11" s="21"/>
    </row>
    <row r="13" spans="3:20" x14ac:dyDescent="0.3">
      <c r="D13" s="54">
        <f>D5</f>
        <v>45016</v>
      </c>
      <c r="E13" s="93">
        <f>I5</f>
        <v>46842</v>
      </c>
      <c r="F13" s="133" t="s">
        <v>337</v>
      </c>
    </row>
    <row r="14" spans="3:20" x14ac:dyDescent="0.3">
      <c r="C14" t="s">
        <v>338</v>
      </c>
      <c r="D14" s="106">
        <f>D7</f>
        <v>69.568250076023531</v>
      </c>
      <c r="E14" s="106">
        <f>I7</f>
        <v>113.38616784738724</v>
      </c>
      <c r="F14" s="129">
        <f>D9</f>
        <v>0.62985510952884249</v>
      </c>
    </row>
    <row r="15" spans="3:20" x14ac:dyDescent="0.3">
      <c r="C15" t="s">
        <v>262</v>
      </c>
      <c r="D15" s="107">
        <f>'Post-Merger Actual'!D58</f>
        <v>4.7916366346562947E-2</v>
      </c>
      <c r="E15" s="107">
        <f>'Post-Merger Actual'!I58</f>
        <v>4.7699705269122337E-2</v>
      </c>
      <c r="F15" s="130" t="s">
        <v>340</v>
      </c>
    </row>
    <row r="16" spans="3:20" x14ac:dyDescent="0.3">
      <c r="C16" t="s">
        <v>276</v>
      </c>
      <c r="D16" s="107">
        <f>'Post-Merger Actual'!D57</f>
        <v>1.0852087332946785</v>
      </c>
      <c r="E16" s="107">
        <f>'Post-Merger Actual'!I57</f>
        <v>0.93741050199693987</v>
      </c>
      <c r="F16" s="131" t="s">
        <v>339</v>
      </c>
    </row>
    <row r="17" spans="3:6" x14ac:dyDescent="0.3">
      <c r="C17" t="s">
        <v>341</v>
      </c>
      <c r="D17" s="134">
        <f>'Post-Merger Actual'!D51/100000</f>
        <v>22.089485800000002</v>
      </c>
      <c r="E17" s="134">
        <f>'Post-Merger Actual'!I51/100000</f>
        <v>34.866990693601004</v>
      </c>
      <c r="F17" s="132">
        <f>((E17/D17)^(1/5))-1</f>
        <v>9.5584228850970065E-2</v>
      </c>
    </row>
    <row r="18" spans="3:6" x14ac:dyDescent="0.3">
      <c r="D18" s="86"/>
      <c r="E18" s="86"/>
      <c r="F18" s="108"/>
    </row>
    <row r="20" spans="3:6" x14ac:dyDescent="0.3">
      <c r="C20" t="s">
        <v>342</v>
      </c>
    </row>
    <row r="21" spans="3:6" x14ac:dyDescent="0.3">
      <c r="C21" t="s">
        <v>343</v>
      </c>
    </row>
    <row r="22" spans="3:6" x14ac:dyDescent="0.3">
      <c r="C22" t="s">
        <v>344</v>
      </c>
    </row>
    <row r="23" spans="3:6" x14ac:dyDescent="0.3">
      <c r="C23" t="s">
        <v>345</v>
      </c>
    </row>
    <row r="24" spans="3:6" x14ac:dyDescent="0.3">
      <c r="C24" t="s">
        <v>346</v>
      </c>
    </row>
  </sheetData>
  <mergeCells count="1">
    <mergeCell ref="C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Financials Raw Data</vt:lpstr>
      <vt:lpstr>Standalone FS-HDFC Ltd.</vt:lpstr>
      <vt:lpstr>Standalone FS-HDFC Bank</vt:lpstr>
      <vt:lpstr>Pro Forma Combined Financials</vt:lpstr>
      <vt:lpstr>Post-Merger Actual</vt:lpstr>
      <vt:lpstr>Synergy Estimates</vt:lpstr>
      <vt:lpstr>Merger Impact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Shipra Ghoshal</dc:creator>
  <cp:lastModifiedBy>Shipra Ghoshal</cp:lastModifiedBy>
  <cp:lastPrinted>2026-02-19T21:20:03Z</cp:lastPrinted>
  <dcterms:created xsi:type="dcterms:W3CDTF">2026-02-19T14:07:42Z</dcterms:created>
  <dcterms:modified xsi:type="dcterms:W3CDTF">2026-02-20T11:09:36Z</dcterms:modified>
</cp:coreProperties>
</file>